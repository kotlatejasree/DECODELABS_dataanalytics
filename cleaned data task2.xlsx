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3E12E7E55B58FD/Desktop/decodelabs/"/>
    </mc:Choice>
  </mc:AlternateContent>
  <xr:revisionPtr revIDLastSave="0" documentId="8_{48E8663F-2DA4-4C9C-B756-A2C19B599D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data" sheetId="1" r:id="rId1"/>
    <sheet name="EDA summary" sheetId="2" r:id="rId2"/>
  </sheets>
  <definedNames>
    <definedName name="_xlnm._FilterDatabase" localSheetId="0" hidden="1">'cleaned data'!$A$1:$O$1201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 a="1"/>
  <c r="G11" i="2" a="1"/>
  <c r="G10" i="2" a="1"/>
  <c r="C12" i="2"/>
  <c r="C11" i="2"/>
  <c r="C10" i="2"/>
  <c r="B12" i="2"/>
  <c r="B11" i="2"/>
  <c r="B10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E12" i="2" l="1"/>
  <c r="D11" i="2"/>
  <c r="D10" i="2"/>
  <c r="D12" i="2"/>
  <c r="F12" i="2" l="1"/>
  <c r="F11" i="2"/>
  <c r="F10" i="2"/>
  <c r="E11" i="2"/>
  <c r="E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<sst xmlns="http://schemas.openxmlformats.org/spreadsheetml/2006/main" count="10833" uniqueCount="4300">
  <si>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</si>
  <si>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</si>
  <si>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</si>
  <si>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</si>
  <si>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</si>
  <si>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</si>
  <si>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</si>
  <si>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</si>
  <si>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</si>
  <si>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</si>
  <si>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</si>
  <si>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</si>
  <si>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</si>
  <si>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</si>
  <si>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</si>
  <si>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</si>
  <si>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</si>
  <si>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</si>
  <si>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</si>
  <si>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</si>
  <si>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</si>
  <si>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</si>
  <si>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</si>
  <si>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</si>
  <si>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</si>
  <si>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</si>
  <si>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</si>
  <si>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</si>
  <si>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</si>
  <si>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</si>
  <si>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</si>
  <si>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</si>
  <si>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</si>
  <si>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</si>
  <si>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</si>
  <si>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</si>
  <si>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</si>
  <si>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</si>
  <si>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</si>
  <si>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</si>
  <si>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</si>
  <si>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</si>
  <si>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</si>
  <si>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</si>
  <si>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</si>
  <si>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</si>
  <si>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</si>
  <si>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</si>
  <si>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</si>
  <si>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</si>
  <si>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</si>
  <si>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</si>
  <si>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</si>
  <si>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</si>
  <si>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</si>
  <si>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</si>
  <si>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</si>
  <si>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</si>
  <si>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</si>
  <si>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</si>
  <si>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</si>
  <si>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</si>
  <si>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</si>
  <si>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</si>
  <si>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</si>
  <si>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</si>
  <si>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</si>
  <si>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</si>
  <si>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</si>
  <si>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</si>
  <si>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</si>
  <si>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</si>
  <si>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</si>
  <si>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</si>
  <si>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</si>
  <si>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</si>
  <si>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</si>
  <si>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</si>
  <si>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</si>
  <si>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</si>
  <si>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</si>
  <si>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</si>
  <si>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</si>
  <si>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</si>
  <si>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</si>
  <si>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</si>
  <si>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</si>
  <si>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</si>
  <si>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</si>
  <si>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</si>
  <si>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</si>
  <si>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</si>
  <si>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</si>
  <si>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</si>
  <si>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</si>
  <si>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</si>
  <si>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</si>
  <si>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</si>
  <si>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</si>
  <si>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</si>
  <si>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</si>
  <si>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</si>
  <si>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</si>
  <si>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</si>
  <si>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</si>
  <si>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</si>
  <si>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</si>
  <si>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</si>
  <si>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</si>
  <si>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</si>
  <si>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</si>
  <si>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</si>
  <si>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</si>
  <si>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</si>
  <si>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</si>
  <si>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</si>
  <si>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</si>
  <si>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</si>
  <si>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</si>
  <si>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</si>
  <si>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</si>
  <si>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</si>
  <si>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</si>
  <si>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</si>
  <si>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</si>
  <si>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</si>
  <si>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</si>
  <si>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</si>
  <si>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</si>
  <si>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</si>
  <si>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</si>
  <si>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</si>
  <si>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</si>
  <si>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</si>
  <si>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</si>
  <si>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</si>
  <si>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</si>
  <si>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</si>
  <si>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</si>
  <si>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</si>
  <si>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</si>
  <si>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</si>
  <si>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</si>
  <si>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</si>
  <si>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</si>
  <si>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</si>
  <si>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</si>
  <si>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</si>
  <si>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</si>
  <si>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</si>
  <si>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</si>
  <si>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</si>
  <si>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</si>
  <si>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</si>
  <si>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</si>
  <si>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</si>
  <si>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</si>
  <si>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</si>
  <si>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</si>
  <si>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</si>
  <si>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</si>
  <si>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</si>
  <si>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</si>
  <si>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</si>
  <si>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</si>
  <si>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</si>
  <si>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</si>
  <si>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</si>
  <si>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</si>
  <si>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</si>
  <si>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</si>
  <si>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</si>
  <si>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</si>
  <si>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</si>
  <si>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</si>
  <si>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</si>
  <si>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</si>
  <si>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</si>
  <si>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</si>
  <si>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</si>
  <si>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</si>
  <si>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</si>
  <si>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</si>
  <si>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</si>
  <si>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</si>
  <si>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</si>
  <si>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</si>
  <si>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</si>
  <si>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</si>
  <si>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</si>
  <si>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</si>
  <si>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</si>
  <si>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</si>
  <si>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</si>
  <si>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</si>
  <si>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</si>
  <si>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</si>
  <si>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</si>
  <si>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</si>
  <si>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</si>
  <si>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</si>
  <si>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</si>
  <si>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</si>
  <si>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</si>
  <si>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</si>
  <si>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</si>
  <si>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</si>
  <si>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</si>
  <si>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</si>
  <si>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</si>
  <si>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</si>
  <si>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</si>
  <si>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</si>
  <si>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</si>
  <si>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</si>
  <si>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</si>
  <si>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</si>
  <si>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</si>
  <si>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</si>
  <si>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</si>
  <si>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</si>
  <si>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</si>
  <si>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</si>
  <si>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</si>
  <si>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</si>
  <si>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</si>
  <si>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</si>
  <si>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</si>
  <si>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</si>
  <si>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</si>
  <si>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</si>
  <si>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</si>
  <si>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</si>
  <si>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</si>
  <si>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</si>
  <si>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</si>
  <si>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</si>
  <si>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</si>
  <si>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</si>
  <si>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</si>
  <si>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</si>
  <si>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</si>
  <si>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</si>
  <si>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</si>
  <si>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</si>
  <si>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</si>
  <si>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</si>
  <si>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</si>
  <si>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</si>
  <si>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</si>
  <si>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</si>
  <si>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</si>
  <si>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</si>
  <si>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</si>
  <si>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</si>
  <si>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</si>
  <si>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</si>
  <si>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</si>
  <si>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</si>
  <si>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</si>
  <si>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</si>
  <si>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</si>
  <si>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</si>
  <si>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</si>
  <si>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</si>
  <si>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</si>
  <si>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</si>
  <si>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</si>
  <si>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</si>
  <si>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</si>
  <si>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</si>
  <si>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</si>
  <si>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</si>
  <si>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</si>
  <si>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</si>
  <si>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</si>
  <si>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</si>
  <si>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</si>
  <si>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</si>
  <si>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</si>
  <si>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</si>
  <si>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</si>
  <si>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</si>
  <si>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</si>
  <si>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</si>
  <si>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</si>
  <si>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</si>
  <si>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</si>
  <si>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</si>
  <si>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</si>
  <si>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</si>
  <si>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</si>
  <si>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</si>
  <si>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</si>
  <si>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</si>
  <si>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</si>
  <si>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</si>
  <si>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</si>
  <si>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</si>
  <si>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</si>
  <si>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</si>
  <si>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</si>
  <si>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</si>
  <si>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</si>
  <si>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</si>
  <si>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</si>
  <si>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</si>
  <si>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</si>
  <si>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</si>
  <si>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</si>
  <si>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</si>
  <si>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</si>
  <si>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</si>
  <si>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</si>
  <si>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</si>
  <si>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</si>
  <si>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</si>
  <si>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</si>
  <si>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</si>
  <si>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</si>
  <si>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</si>
  <si>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</si>
  <si>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</si>
  <si>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</si>
  <si>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</si>
  <si>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</si>
  <si>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</si>
  <si>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</si>
  <si>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</si>
  <si>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</si>
  <si>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</si>
  <si>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</si>
  <si>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</si>
  <si>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</si>
  <si>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</si>
  <si>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</si>
  <si>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</si>
  <si>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</si>
  <si>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</si>
  <si>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</si>
  <si>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</si>
  <si>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</si>
  <si>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</si>
  <si>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</si>
  <si>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</si>
  <si>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</si>
  <si>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</si>
  <si>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</si>
  <si>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</si>
  <si>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</si>
  <si>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</si>
  <si>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</si>
  <si>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</si>
  <si>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</si>
  <si>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</si>
  <si>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</si>
  <si>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</si>
  <si>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</si>
  <si>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</si>
  <si>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</si>
  <si>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</si>
  <si>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</si>
  <si>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</si>
  <si>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</si>
  <si>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</si>
  <si>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</si>
  <si>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</si>
  <si>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</si>
  <si>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</si>
  <si>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</si>
  <si>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</si>
  <si>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</si>
  <si>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</si>
  <si>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</si>
  <si>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</si>
  <si>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</si>
  <si>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</si>
  <si>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</si>
  <si>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</si>
  <si>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</si>
  <si>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</si>
  <si>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</si>
  <si>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</si>
  <si>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</si>
  <si>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</si>
  <si>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</si>
  <si>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</si>
  <si>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</si>
  <si>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</si>
  <si>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</si>
  <si>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</si>
  <si>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</si>
  <si>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</si>
  <si>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</si>
  <si>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</si>
  <si>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</si>
  <si>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</si>
  <si>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</si>
  <si>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</si>
  <si>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</si>
  <si>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</si>
  <si>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</si>
  <si>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</si>
  <si>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</si>
  <si>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</si>
  <si>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</si>
  <si>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</si>
  <si>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</si>
  <si>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</si>
  <si>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</si>
  <si>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</si>
  <si>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</si>
  <si>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</si>
  <si>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</si>
  <si>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</si>
  <si>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</si>
  <si>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</si>
  <si>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</si>
  <si>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</si>
  <si>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</si>
  <si>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</si>
  <si>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</si>
  <si>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</si>
  <si>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</si>
  <si>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</si>
  <si>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</si>
  <si>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</si>
  <si>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</si>
  <si>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</si>
  <si>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</si>
  <si>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</si>
  <si>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</si>
  <si>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</si>
  <si>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</si>
  <si>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</si>
  <si>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</si>
  <si>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</si>
  <si>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</si>
  <si>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</si>
  <si>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</si>
  <si>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</si>
  <si>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</si>
  <si>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</si>
  <si>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</si>
  <si>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</si>
  <si>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</si>
  <si>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</si>
  <si>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</si>
  <si>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</si>
  <si>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</si>
  <si>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</si>
  <si>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</si>
  <si>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</si>
  <si>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</si>
  <si>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</si>
  <si>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</si>
  <si>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</si>
  <si>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</si>
  <si>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</si>
  <si>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</si>
  <si>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</si>
  <si>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</si>
  <si>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</si>
  <si>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</si>
  <si>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</si>
  <si>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</si>
  <si>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</si>
  <si>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</si>
  <si>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</si>
  <si>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</si>
  <si>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</si>
  <si>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</si>
  <si>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</si>
  <si>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</si>
  <si>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</si>
  <si>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</si>
  <si>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</si>
  <si>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</si>
  <si>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</si>
  <si>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</si>
  <si>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</si>
  <si>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</si>
  <si>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</si>
  <si>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</si>
  <si>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</si>
  <si>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</si>
  <si>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</si>
  <si>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</si>
  <si>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</si>
  <si>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</si>
  <si>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</si>
  <si>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</si>
  <si>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</si>
  <si>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</si>
  <si>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</si>
  <si>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</si>
  <si>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</si>
  <si>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</si>
  <si>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</si>
  <si>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</si>
  <si>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</si>
  <si>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</si>
  <si>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</si>
  <si>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</si>
  <si>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</si>
  <si>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</si>
  <si>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</si>
  <si>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</si>
  <si>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</si>
  <si>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</si>
  <si>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</si>
  <si>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</si>
  <si>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</si>
  <si>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</si>
  <si>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</si>
  <si>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</si>
  <si>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</si>
  <si>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</si>
  <si>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</si>
  <si>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</si>
  <si>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</si>
  <si>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</si>
  <si>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</si>
  <si>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</si>
  <si>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</si>
  <si>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</si>
  <si>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</si>
  <si>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</si>
  <si>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</si>
  <si>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</si>
  <si>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</si>
  <si>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</si>
  <si>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</si>
  <si>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</si>
  <si>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</si>
  <si>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</si>
  <si>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</si>
  <si>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</si>
  <si>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</si>
  <si>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</si>
  <si>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</si>
  <si>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</si>
  <si>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</si>
  <si>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</si>
  <si>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</si>
  <si>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</si>
  <si>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</si>
  <si>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</si>
  <si>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</si>
  <si>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</si>
  <si>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</si>
  <si>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</si>
  <si>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</si>
  <si>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</si>
  <si>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</si>
  <si>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</si>
  <si>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</si>
  <si>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</si>
  <si>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</si>
  <si>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</si>
  <si>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</si>
  <si>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</si>
  <si>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</si>
  <si>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</si>
  <si>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</si>
  <si>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</si>
  <si>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</si>
  <si>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</si>
  <si>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</si>
  <si>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</si>
  <si>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</si>
  <si>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</si>
  <si>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</si>
  <si>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</si>
  <si>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</si>
  <si>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</si>
  <si>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</si>
  <si>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</si>
  <si>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</si>
  <si>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</si>
  <si>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</si>
  <si>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</si>
  <si>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</si>
  <si>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</si>
  <si>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</si>
  <si>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</si>
  <si>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</si>
  <si>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</si>
  <si>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</si>
  <si>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</si>
  <si>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</si>
  <si>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</si>
  <si>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</si>
  <si>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</si>
  <si>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</si>
  <si>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</si>
  <si>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</si>
  <si>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</si>
  <si>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</si>
  <si>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</si>
  <si>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</si>
  <si>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</si>
  <si>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</si>
  <si>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</si>
  <si>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</si>
  <si>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</si>
  <si>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</si>
  <si>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</si>
  <si>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</si>
  <si>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</si>
  <si>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</si>
  <si>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</si>
  <si>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</si>
  <si>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</si>
  <si>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</si>
  <si>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</si>
  <si>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</si>
  <si>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</si>
  <si>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</si>
  <si>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</si>
  <si>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</si>
  <si>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</si>
  <si>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</si>
  <si>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</si>
  <si>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</si>
  <si>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</si>
  <si>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</si>
  <si>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</si>
  <si>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</si>
  <si>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</si>
  <si>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</si>
  <si>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</si>
  <si>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</si>
  <si>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</si>
  <si>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</si>
  <si>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</si>
  <si>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</si>
  <si>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</si>
  <si>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</si>
  <si>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</si>
  <si>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</si>
  <si>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</si>
  <si>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</si>
  <si>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</si>
  <si>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</si>
  <si>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</si>
  <si>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</si>
  <si>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</si>
  <si>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</si>
  <si>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</si>
  <si>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</si>
  <si>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</si>
  <si>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</si>
  <si>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</si>
  <si>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</si>
  <si>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</si>
  <si>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</si>
  <si>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</si>
  <si>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</si>
  <si>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</si>
  <si>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</si>
  <si>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</si>
  <si>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</si>
  <si>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</si>
  <si>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</si>
  <si>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</si>
  <si>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</si>
  <si>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</si>
  <si>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</si>
  <si>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</si>
  <si>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</si>
  <si>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</si>
  <si>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</si>
  <si>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</si>
  <si>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</si>
  <si>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</si>
  <si>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</si>
  <si>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</si>
  <si>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</si>
  <si>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</si>
  <si>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</si>
  <si>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</si>
  <si>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</si>
  <si>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</si>
  <si>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</si>
  <si>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</si>
  <si>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</si>
  <si>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</si>
  <si>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</si>
  <si>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</si>
  <si>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</si>
  <si>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</si>
  <si>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</si>
  <si>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</si>
  <si>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</si>
  <si>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</si>
  <si>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</si>
  <si>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</si>
  <si>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</si>
  <si>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</si>
  <si>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</si>
  <si>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</si>
  <si>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</si>
  <si>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</si>
  <si>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</si>
  <si>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</si>
  <si>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</si>
  <si>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</si>
  <si>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</si>
  <si>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</si>
  <si>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</si>
  <si>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</si>
  <si>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</si>
  <si>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</si>
  <si>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</si>
  <si>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</si>
  <si>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</si>
  <si>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</si>
  <si>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</si>
  <si>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</si>
  <si>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</si>
  <si>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</si>
  <si>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</si>
  <si>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</si>
  <si>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</si>
  <si>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</si>
  <si>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</si>
  <si>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</si>
  <si>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</si>
  <si>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</si>
  <si>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</si>
  <si>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</si>
  <si>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</si>
  <si>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</si>
  <si>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</si>
  <si>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</si>
  <si>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</si>
  <si>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</si>
  <si>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</si>
  <si>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</si>
  <si>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</si>
  <si>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</si>
  <si>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</si>
  <si>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</si>
  <si>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</si>
  <si>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</si>
  <si>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</si>
  <si>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</si>
  <si>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</si>
  <si>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</si>
  <si>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</si>
  <si>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</si>
  <si>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</si>
  <si>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</si>
  <si>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</si>
  <si>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</si>
  <si>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</si>
  <si>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</si>
  <si>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</si>
  <si>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</si>
  <si>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</si>
  <si>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</si>
  <si>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</si>
  <si>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</si>
  <si>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</si>
  <si>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</si>
  <si>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</si>
  <si>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</si>
  <si>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</si>
  <si>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</si>
  <si>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</si>
  <si>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</si>
  <si>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</si>
  <si>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</si>
  <si>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</si>
  <si>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</si>
  <si>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</si>
  <si>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</si>
  <si>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</si>
  <si>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</si>
  <si>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</si>
  <si>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</si>
  <si>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</si>
  <si>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</si>
  <si>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</si>
  <si>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</si>
  <si>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</si>
  <si>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</si>
  <si>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</si>
  <si>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</si>
  <si>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</si>
  <si>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</si>
  <si>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</si>
  <si>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</si>
  <si>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</si>
  <si>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</si>
  <si>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</si>
  <si>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</si>
  <si>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</si>
  <si>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</si>
  <si>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</si>
  <si>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</si>
  <si>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</si>
  <si>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</si>
  <si>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</si>
  <si>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</si>
  <si>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</si>
  <si>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</si>
  <si>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</si>
  <si>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</si>
  <si>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</si>
  <si>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</si>
  <si>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</si>
  <si>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</si>
  <si>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</si>
  <si>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</si>
  <si>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</si>
  <si>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</si>
  <si>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</si>
  <si>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</si>
  <si>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</si>
  <si>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</si>
  <si>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</si>
  <si>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</si>
  <si>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</si>
  <si>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</si>
  <si>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</si>
  <si>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</si>
  <si>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</si>
  <si>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</si>
  <si>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</si>
  <si>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</si>
  <si>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</si>
  <si>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</si>
  <si>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</si>
  <si>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</si>
  <si>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</si>
  <si>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</si>
  <si>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</si>
  <si>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</si>
  <si>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</si>
  <si>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</si>
  <si>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</si>
  <si>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</si>
  <si>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</si>
  <si>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</si>
  <si>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</si>
  <si>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</si>
  <si>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</si>
  <si>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</si>
  <si>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</si>
  <si>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</si>
  <si>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</si>
  <si>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</si>
  <si>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</si>
  <si>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</si>
  <si>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</si>
  <si>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</si>
  <si>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</si>
  <si>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</si>
  <si>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</si>
  <si>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</si>
  <si>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</si>
  <si>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</si>
  <si>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</si>
  <si>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</si>
  <si>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</si>
  <si>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</si>
  <si>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</si>
  <si>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</si>
  <si>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</si>
  <si>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</si>
  <si>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</si>
  <si>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</si>
  <si>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</si>
  <si>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</si>
  <si>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</si>
  <si>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</si>
  <si>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</si>
  <si>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</si>
  <si>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</si>
  <si>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</si>
  <si>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</si>
  <si>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</si>
  <si>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</si>
  <si>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</si>
  <si>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</si>
  <si>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</si>
  <si>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</si>
  <si>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</si>
  <si>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</si>
  <si>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</si>
  <si>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</si>
  <si>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</si>
  <si>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</si>
  <si>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</si>
  <si>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</si>
  <si>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</si>
  <si>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</si>
  <si>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</si>
  <si>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</si>
  <si>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</si>
  <si>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</si>
  <si>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</si>
  <si>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</si>
  <si>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</si>
  <si>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</si>
  <si>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</si>
  <si>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</si>
  <si>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</si>
  <si>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</si>
  <si>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</si>
  <si>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</si>
  <si>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</si>
  <si>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</si>
  <si>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</si>
  <si>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</si>
  <si>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</si>
  <si>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</si>
  <si>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</si>
  <si>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</si>
  <si>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</si>
  <si>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</si>
  <si>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</si>
  <si>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</si>
  <si>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</si>
  <si>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</si>
  <si>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</si>
  <si>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</si>
  <si>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</si>
  <si>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</si>
  <si>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</si>
  <si>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</si>
  <si>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</si>
  <si>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</si>
  <si>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</si>
  <si>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</si>
  <si>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</si>
  <si>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</si>
  <si>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</si>
  <si>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</si>
  <si>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</si>
  <si>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</si>
  <si>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</si>
  <si>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</si>
  <si>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</si>
  <si>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</si>
  <si>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</si>
  <si>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</si>
  <si>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</si>
  <si>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</si>
  <si>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</si>
  <si>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</si>
  <si>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</si>
  <si>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</si>
  <si>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</si>
  <si>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</si>
  <si>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</si>
  <si>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</si>
  <si>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</si>
  <si>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</si>
  <si>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</si>
  <si>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</si>
  <si>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</si>
  <si>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</si>
  <si>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</si>
  <si>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</si>
  <si>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</si>
  <si>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</si>
  <si>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</si>
  <si>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</si>
  <si>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</si>
  <si>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</si>
  <si>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</si>
  <si>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</si>
  <si>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</si>
  <si>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</si>
  <si>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</si>
  <si>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</si>
  <si>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</si>
  <si>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</si>
  <si>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</si>
  <si>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</si>
  <si>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</si>
  <si>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</si>
  <si>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</si>
  <si>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</si>
  <si>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</si>
  <si>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</si>
  <si>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</si>
  <si>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</si>
  <si>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</si>
  <si>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</si>
  <si>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</si>
  <si>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</si>
  <si>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</si>
  <si>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</si>
  <si>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</si>
  <si>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</si>
  <si>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</si>
  <si>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</si>
  <si>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</si>
  <si>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</si>
  <si>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</si>
  <si>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</si>
  <si>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</si>
  <si>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</si>
  <si>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</si>
  <si>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</si>
  <si>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</si>
  <si>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</si>
  <si>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</si>
  <si>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</si>
  <si>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</si>
  <si>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</si>
  <si>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</si>
  <si>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</si>
  <si>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</si>
  <si>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</si>
  <si>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</si>
  <si>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</si>
  <si>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</si>
  <si>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</si>
  <si>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</si>
  <si>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</si>
  <si>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</si>
  <si>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</si>
  <si>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</si>
  <si>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</si>
  <si>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</si>
  <si>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</si>
  <si>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</si>
  <si>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</si>
  <si>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</si>
  <si>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</si>
  <si>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</si>
  <si>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</si>
  <si>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</si>
  <si>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</si>
  <si>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</si>
  <si>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</si>
  <si>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</si>
  <si>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</si>
  <si>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</si>
  <si>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</si>
  <si>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</si>
  <si>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</si>
  <si>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</si>
  <si>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</si>
  <si>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</si>
  <si>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</si>
  <si>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</si>
  <si>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</si>
  <si>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</si>
  <si>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</si>
  <si>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</si>
  <si>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</si>
  <si>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</si>
  <si>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</si>
  <si>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</si>
  <si>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</si>
  <si>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</si>
  <si>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</si>
  <si>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</si>
  <si>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</si>
  <si>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</si>
  <si>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</si>
  <si>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</si>
  <si>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</si>
  <si>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</si>
  <si>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</si>
  <si>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</si>
  <si>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</si>
  <si>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</si>
  <si>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</si>
  <si>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</si>
  <si>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</si>
  <si>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</si>
  <si>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</si>
  <si>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</si>
  <si>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</si>
  <si>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</si>
  <si>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</si>
  <si>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</si>
  <si>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</si>
  <si>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</si>
  <si>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</si>
  <si>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</si>
  <si>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</si>
  <si>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</si>
  <si>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</si>
  <si>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</si>
  <si>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</si>
  <si>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</si>
  <si>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</si>
  <si>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</si>
  <si>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</si>
  <si>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</si>
  <si>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</si>
  <si>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</si>
  <si>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</si>
  <si>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</si>
  <si>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</si>
  <si>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</si>
  <si>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</si>
  <si>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</si>
  <si>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</si>
  <si>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</si>
  <si>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</si>
  <si>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</si>
  <si>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</si>
  <si>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</si>
  <si>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</si>
  <si>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</si>
  <si>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</si>
  <si>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</si>
  <si>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</si>
  <si>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</si>
  <si>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</si>
  <si>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</si>
  <si>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</si>
  <si>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</si>
  <si>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</si>
  <si>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</si>
  <si>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</si>
  <si>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</si>
  <si>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</si>
  <si>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</si>
  <si>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</si>
  <si>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</si>
  <si>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</si>
  <si>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</si>
  <si>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</si>
  <si>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</si>
  <si>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</si>
  <si>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</si>
  <si>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</si>
  <si>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</si>
  <si>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</si>
  <si>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</si>
  <si>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</si>
  <si>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</si>
  <si>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</si>
  <si>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</si>
  <si>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</si>
  <si>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</si>
  <si>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</si>
  <si>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</si>
  <si>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</si>
  <si>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</si>
  <si>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</si>
  <si>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</si>
  <si>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</si>
  <si>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</si>
  <si>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</si>
  <si>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</si>
  <si>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</si>
  <si>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</si>
  <si>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</si>
  <si>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</si>
  <si>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</si>
  <si>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</si>
  <si>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</si>
  <si>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</si>
  <si>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</si>
  <si>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</si>
  <si>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</si>
  <si>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</si>
  <si>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</si>
  <si>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</si>
  <si>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</si>
  <si>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</si>
  <si>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</si>
  <si>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</si>
  <si>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</si>
  <si>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</si>
  <si>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</si>
  <si>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</si>
  <si>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</si>
  <si>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</si>
  <si>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</si>
  <si>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</si>
  <si>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</si>
  <si>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</si>
  <si>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</si>
  <si>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</si>
  <si>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</si>
  <si>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</si>
  <si>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</si>
  <si>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</si>
  <si>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</si>
  <si>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</si>
  <si>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</si>
  <si>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</si>
  <si>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</si>
  <si>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</si>
  <si>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</si>
  <si>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</si>
  <si>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</si>
  <si>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</si>
  <si>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</si>
  <si>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</si>
  <si>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</si>
  <si>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</si>
  <si>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</si>
  <si>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</si>
  <si>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</si>
  <si>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</si>
  <si>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</si>
  <si>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</si>
  <si>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</si>
  <si>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</si>
  <si>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</si>
  <si>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</si>
  <si>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</si>
  <si>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</si>
  <si>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</si>
  <si>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</si>
  <si>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</si>
  <si>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</si>
  <si>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</si>
  <si>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</si>
  <si>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</si>
  <si>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</si>
  <si>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</si>
  <si>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</si>
  <si>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</si>
  <si>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</si>
  <si>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</si>
  <si>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</si>
  <si>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</si>
  <si>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</si>
  <si>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</si>
  <si>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</si>
  <si>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</si>
  <si>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</si>
  <si>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</si>
  <si>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</si>
  <si>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</si>
  <si>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</si>
  <si>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</si>
  <si>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</si>
  <si>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</si>
  <si>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</si>
  <si>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</si>
  <si>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</si>
  <si>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</si>
  <si>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</si>
  <si>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</si>
  <si>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</si>
  <si>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</si>
  <si>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</si>
  <si>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</si>
  <si>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</si>
  <si>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</si>
  <si>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</si>
  <si>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</si>
  <si>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</si>
  <si>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</si>
  <si>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</si>
  <si>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</si>
  <si>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</si>
  <si>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</si>
  <si>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</si>
  <si>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</si>
  <si>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</si>
  <si>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</si>
  <si>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</si>
  <si>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</si>
  <si>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</si>
  <si>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</si>
  <si>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</si>
  <si>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</si>
  <si>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</si>
  <si>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</si>
  <si>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</si>
  <si>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</si>
  <si>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</si>
  <si>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</si>
  <si>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</si>
  <si>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</si>
  <si>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</si>
  <si>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</si>
  <si>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</si>
  <si>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</si>
  <si>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</si>
  <si>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</si>
  <si>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</si>
  <si>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</si>
  <si>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</si>
  <si>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</si>
  <si>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</si>
  <si>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</si>
  <si>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</si>
  <si>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</si>
  <si>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</si>
  <si>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</si>
  <si>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</si>
  <si>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</si>
  <si>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</si>
  <si>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</si>
  <si>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</si>
  <si>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</si>
  <si>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</si>
  <si>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</si>
  <si>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</si>
  <si>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</si>
  <si>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</si>
  <si>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</si>
  <si>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</si>
  <si>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</si>
  <si>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</si>
  <si>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</si>
  <si>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</si>
  <si>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</si>
  <si>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</si>
  <si>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</si>
  <si>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</si>
  <si>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</si>
  <si>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</si>
  <si>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</si>
  <si>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</si>
  <si>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</si>
  <si>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</si>
  <si>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</si>
  <si>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</si>
  <si>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</si>
  <si>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</si>
  <si>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</si>
  <si>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</si>
  <si>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</si>
  <si>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</si>
  <si>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</si>
  <si>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</si>
  <si>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</si>
  <si>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</si>
  <si>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</si>
  <si>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</si>
  <si>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</si>
  <si>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</si>
  <si>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</si>
  <si>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</si>
  <si>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</si>
  <si>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</si>
  <si>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</si>
  <si>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</si>
  <si>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</si>
  <si>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</si>
  <si>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</si>
  <si>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</si>
  <si>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</si>
  <si>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</si>
  <si>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</si>
  <si>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</si>
  <si>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</si>
  <si>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</si>
  <si>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</si>
  <si>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</si>
  <si>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</si>
  <si>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</si>
  <si>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</si>
  <si>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</si>
  <si>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</si>
  <si>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</si>
  <si>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</si>
  <si>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</si>
  <si>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</si>
  <si>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</si>
  <si>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</si>
  <si>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</si>
  <si>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</si>
  <si>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</si>
  <si>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</si>
  <si>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</si>
  <si>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</si>
  <si>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</si>
  <si>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</si>
  <si>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</si>
  <si>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</si>
  <si>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</si>
  <si>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</si>
  <si>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</si>
  <si>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</si>
  <si>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</si>
  <si>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</si>
  <si>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</si>
  <si>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</si>
  <si>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</si>
  <si>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</si>
  <si>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</si>
  <si>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</si>
  <si>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</si>
  <si>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</si>
  <si>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</si>
  <si>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</si>
  <si>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</si>
  <si>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</si>
  <si>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</si>
  <si>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</si>
  <si>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</si>
  <si>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</si>
  <si>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</si>
  <si>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</si>
  <si>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</si>
  <si>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</si>
  <si>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</si>
  <si>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</si>
  <si>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</si>
  <si>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</si>
  <si>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</si>
  <si>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</si>
  <si>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</si>
  <si>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</si>
  <si>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</si>
  <si>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</si>
  <si>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</si>
  <si>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</si>
  <si>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</si>
  <si>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</si>
  <si>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</si>
  <si>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</si>
  <si>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</si>
  <si>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</si>
  <si>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</si>
  <si>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</si>
  <si>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</si>
  <si>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</si>
  <si>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</si>
  <si>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</si>
  <si>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</si>
  <si>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</si>
  <si>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</si>
  <si>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</si>
  <si>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</si>
  <si>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</si>
  <si>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</si>
  <si>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</si>
  <si>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</si>
  <si>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</si>
  <si>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</si>
  <si>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</si>
  <si>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</si>
  <si>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</si>
  <si>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</si>
  <si>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</si>
  <si>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</si>
  <si>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</si>
  <si>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</si>
  <si>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</si>
  <si>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</si>
  <si>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</si>
  <si>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</si>
  <si>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</si>
  <si>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</si>
  <si>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</si>
  <si>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</si>
  <si>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</si>
  <si>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</si>
  <si>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</si>
  <si>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</si>
  <si>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</si>
  <si>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</si>
  <si>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</si>
  <si>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</si>
  <si>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</si>
  <si>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</si>
  <si>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</si>
  <si>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</si>
  <si>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</si>
  <si>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</si>
  <si>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</si>
  <si>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</si>
  <si>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</si>
  <si>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</si>
  <si>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</si>
  <si>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</si>
  <si>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</si>
  <si>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</si>
  <si>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</si>
  <si>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</si>
  <si>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</si>
  <si>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</si>
  <si>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</si>
  <si>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</si>
  <si>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</si>
  <si>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</si>
  <si>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</si>
  <si>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</si>
  <si>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</si>
  <si>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</si>
  <si>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</si>
  <si>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</si>
  <si>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</si>
  <si>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</si>
  <si>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</si>
  <si>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</si>
  <si>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</si>
  <si>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</si>
  <si>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</si>
  <si>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</si>
  <si>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</si>
  <si>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</si>
  <si>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</si>
  <si>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</si>
  <si>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</si>
  <si>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</si>
  <si>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</si>
  <si>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</si>
  <si>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</si>
  <si>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</si>
  <si>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</si>
  <si>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</si>
  <si>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</si>
  <si>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</si>
  <si>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</si>
  <si>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</si>
  <si>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</si>
  <si>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</si>
  <si>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</si>
  <si>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</si>
  <si>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</si>
  <si>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</si>
  <si>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</si>
  <si>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</si>
  <si>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</si>
  <si>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</si>
  <si>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</si>
  <si>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</si>
  <si>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</si>
  <si>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</si>
  <si>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</si>
  <si>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</si>
  <si>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</si>
  <si>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</si>
  <si>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</si>
  <si>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</si>
  <si>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</si>
  <si>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</si>
  <si>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</si>
  <si>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</si>
  <si>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</si>
  <si>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</si>
  <si>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</si>
  <si>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</si>
  <si>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</si>
  <si>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</si>
  <si>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</si>
  <si>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</si>
  <si>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</si>
  <si>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</si>
  <si>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</si>
  <si>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</si>
  <si>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</si>
  <si>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</si>
  <si>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</si>
  <si>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</si>
  <si>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</si>
  <si>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</si>
  <si>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</si>
  <si>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</si>
  <si>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</si>
  <si>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</si>
  <si>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</si>
  <si>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</si>
  <si>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</si>
  <si>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</si>
  <si>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</si>
  <si>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</si>
  <si>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</si>
  <si>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</si>
  <si>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</si>
  <si>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</si>
  <si>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</si>
  <si>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</si>
  <si>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</si>
  <si>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</si>
  <si>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</si>
  <si>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</si>
  <si>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</si>
  <si>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</si>
  <si>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</si>
  <si>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</si>
  <si>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</si>
  <si>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</si>
  <si>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</si>
  <si>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</si>
  <si>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</si>
  <si>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</si>
  <si>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</si>
  <si>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</si>
  <si>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</si>
  <si>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</si>
  <si>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</si>
  <si>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</si>
  <si>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</si>
  <si>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</si>
  <si>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</si>
  <si>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</si>
  <si>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</si>
  <si>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</si>
  <si>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</si>
  <si>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</si>
  <si>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</si>
  <si>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</si>
  <si>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</si>
  <si>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</si>
  <si>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</si>
  <si>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</si>
  <si>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</si>
  <si>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</si>
  <si>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</si>
  <si>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</si>
  <si>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</si>
  <si>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</si>
  <si>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</si>
  <si>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</si>
  <si>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</si>
  <si>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</si>
  <si>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</si>
  <si>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</si>
  <si>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</si>
  <si>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</si>
  <si>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</si>
  <si>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</si>
  <si>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</si>
  <si>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</si>
  <si>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</si>
  <si>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</si>
  <si>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</si>
  <si>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</si>
  <si>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</si>
  <si>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</si>
  <si>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</si>
  <si>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</si>
  <si>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</si>
  <si>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</si>
  <si>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</si>
  <si>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</si>
  <si>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</si>
  <si>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</si>
  <si>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</si>
  <si>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</si>
  <si>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</si>
  <si>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</si>
  <si>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</si>
  <si>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</si>
  <si>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</si>
  <si>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</si>
  <si>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</si>
  <si>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</si>
  <si>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</si>
  <si>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</si>
  <si>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</si>
  <si>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</si>
  <si>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</si>
  <si>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</si>
  <si>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</si>
  <si>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</si>
  <si>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</si>
  <si>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</si>
  <si>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</si>
  <si>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</si>
  <si>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</si>
  <si>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</si>
  <si>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</si>
  <si>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</si>
  <si>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</si>
  <si>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</si>
  <si>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</si>
  <si>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</si>
  <si>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</si>
  <si>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</si>
  <si>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</si>
  <si>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</si>
  <si>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</si>
  <si>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</si>
  <si>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</si>
  <si>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</si>
  <si>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</si>
  <si>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</si>
  <si>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</si>
  <si>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</si>
  <si>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</si>
  <si>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</si>
  <si>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</si>
  <si>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</si>
  <si>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</si>
  <si>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</si>
  <si>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</si>
  <si>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</si>
  <si>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</si>
  <si>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</si>
  <si>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</si>
  <si>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</si>
  <si>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</si>
  <si>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</si>
  <si>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</si>
  <si>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</si>
  <si>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</si>
  <si>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</si>
  <si>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</si>
  <si>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</si>
  <si>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</si>
  <si>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</si>
  <si>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</si>
  <si>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</si>
  <si>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</si>
  <si>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</si>
  <si>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</si>
  <si>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</si>
  <si>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</si>
  <si>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</si>
  <si>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</si>
  <si>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</si>
  <si>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</si>
  <si>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</si>
  <si>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</si>
  <si>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</si>
  <si>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</si>
  <si>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</si>
  <si>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</si>
  <si>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</si>
  <si>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</si>
  <si>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</si>
  <si>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</si>
  <si>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</si>
  <si>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</si>
  <si>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</si>
  <si>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</si>
  <si>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</si>
  <si>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</si>
  <si>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</si>
  <si>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</si>
  <si>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</si>
  <si>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</si>
  <si>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</si>
  <si>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</si>
  <si>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</si>
  <si>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</si>
  <si>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</si>
  <si>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</si>
  <si>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</si>
  <si>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</si>
  <si>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</si>
  <si>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</si>
  <si>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</si>
  <si>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</si>
  <si>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</si>
  <si>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</si>
  <si>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</si>
  <si>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</si>
  <si>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</si>
  <si>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</si>
  <si>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</si>
  <si>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</si>
  <si>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</si>
  <si>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</si>
  <si>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</si>
  <si>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</si>
  <si>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</si>
  <si>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</si>
  <si>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</si>
  <si>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</si>
  <si>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</si>
  <si>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</si>
  <si>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</si>
  <si>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</si>
  <si>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</si>
  <si>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</si>
  <si>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</si>
  <si>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</si>
  <si>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</si>
  <si>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</si>
  <si>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</si>
  <si>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</si>
  <si>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</si>
  <si>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</si>
  <si>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</si>
  <si>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</si>
  <si>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</si>
  <si>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</si>
  <si>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</si>
  <si>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</si>
  <si>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</si>
  <si>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</si>
  <si>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</si>
  <si>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</si>
  <si>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</si>
  <si>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</si>
  <si>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</si>
  <si>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</si>
  <si>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</si>
  <si>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</si>
  <si>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</si>
  <si>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</si>
  <si>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</si>
  <si>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</si>
  <si>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</si>
  <si>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</si>
  <si>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</si>
  <si>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</si>
  <si>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</si>
  <si>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</si>
  <si>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</si>
  <si>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</si>
  <si>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</si>
  <si>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</si>
  <si>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</si>
  <si>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</si>
  <si>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</si>
  <si>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</si>
  <si>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</si>
  <si>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</si>
  <si>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</si>
  <si>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</si>
  <si>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</si>
  <si>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</si>
  <si>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</si>
  <si>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</si>
  <si>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</si>
  <si>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</si>
  <si>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</si>
  <si>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</si>
  <si>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</si>
  <si>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</si>
  <si>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</si>
  <si>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</si>
  <si>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</si>
  <si>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</si>
  <si>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</si>
  <si>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</si>
  <si>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</si>
  <si>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</si>
  <si>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</si>
  <si>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</si>
  <si>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</si>
  <si>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</si>
  <si>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</si>
  <si>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</si>
  <si>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</si>
  <si>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</si>
  <si>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</si>
  <si>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</si>
  <si>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</si>
  <si>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</si>
  <si>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</si>
  <si>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</si>
  <si>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</si>
  <si>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</si>
  <si>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</si>
  <si>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</si>
  <si>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</si>
  <si>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</si>
  <si>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</si>
  <si>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</si>
  <si>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</si>
  <si>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</si>
  <si>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</si>
  <si>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</si>
  <si>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</si>
  <si>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</si>
  <si>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</si>
  <si>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</si>
  <si>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</si>
  <si>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</si>
  <si>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</si>
  <si>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</si>
  <si>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</si>
  <si>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</si>
  <si>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</si>
  <si>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</si>
  <si>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</si>
  <si>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</si>
  <si>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</si>
  <si>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</si>
  <si>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</si>
  <si>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</si>
  <si>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</si>
  <si>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</si>
  <si>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</si>
  <si>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</si>
  <si>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</si>
  <si>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</si>
  <si>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</si>
  <si>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</si>
  <si>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</si>
  <si>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</si>
  <si>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</si>
  <si>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</si>
  <si>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</si>
  <si>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</si>
  <si>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</si>
  <si>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</si>
  <si>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</si>
  <si>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</si>
  <si>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</si>
  <si>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</si>
  <si>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</si>
  <si>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</si>
  <si>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</si>
  <si>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</si>
  <si>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</si>
  <si>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</si>
  <si>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</si>
  <si>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</si>
  <si>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</si>
  <si>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</si>
  <si>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</si>
  <si>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</si>
  <si>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</si>
  <si>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</si>
  <si>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</si>
  <si>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</si>
  <si>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</si>
  <si>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</si>
  <si>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</si>
  <si>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</si>
  <si>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</si>
  <si>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</si>
  <si>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</si>
  <si>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</si>
  <si>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</si>
  <si>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</si>
  <si>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</si>
  <si>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</si>
  <si>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</si>
  <si>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</si>
  <si>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</si>
  <si>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</si>
  <si>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</si>
  <si>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</si>
  <si>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</si>
  <si>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</si>
  <si>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</si>
  <si>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</si>
  <si>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</si>
  <si>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</si>
  <si>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</si>
  <si>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</si>
  <si>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</si>
  <si>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</si>
  <si>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</si>
  <si>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</si>
  <si>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</si>
  <si>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</si>
  <si>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</si>
  <si>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</si>
  <si>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</si>
  <si>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</si>
  <si>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</si>
  <si>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</si>
  <si>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</si>
  <si>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</si>
  <si>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</si>
  <si>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</si>
  <si>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</si>
  <si>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</si>
  <si>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</si>
  <si>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</si>
  <si>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</si>
  <si>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</si>
  <si>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</si>
  <si>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</si>
  <si>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</si>
  <si>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</si>
  <si>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</si>
  <si>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</si>
  <si>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</si>
  <si>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</si>
  <si>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</si>
  <si>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</si>
  <si>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</si>
  <si>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</si>
  <si>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</si>
  <si>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</si>
  <si>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</si>
  <si>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</si>
  <si>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</si>
  <si>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</si>
  <si>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</si>
  <si>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</si>
  <si>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</si>
  <si>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</si>
  <si>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</si>
  <si>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</si>
  <si>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</si>
  <si>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</si>
  <si>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</si>
  <si>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</si>
  <si>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</si>
  <si>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</si>
  <si>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</si>
  <si>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</si>
  <si>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</si>
  <si>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</si>
  <si>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</si>
  <si>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</si>
  <si>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</si>
  <si>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</si>
  <si>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</si>
  <si>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</si>
  <si>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</si>
  <si>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</si>
  <si>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</si>
  <si>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</si>
  <si>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</si>
  <si>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</si>
  <si>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</si>
  <si>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</si>
  <si>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</si>
  <si>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</si>
  <si>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</si>
  <si>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</si>
  <si>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</si>
  <si>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</si>
  <si>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</si>
  <si>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</si>
  <si>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</si>
  <si>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</si>
  <si>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</si>
  <si>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</si>
  <si>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</si>
  <si>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</si>
  <si>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</si>
  <si>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</si>
  <si>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</si>
  <si>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</si>
  <si>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</si>
  <si>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</si>
  <si>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</si>
  <si>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</si>
  <si>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</si>
  <si>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</si>
  <si>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</si>
  <si>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</si>
  <si>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</si>
  <si>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</si>
  <si>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</si>
  <si>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</si>
  <si>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</si>
  <si>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</si>
  <si>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</si>
  <si>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</si>
  <si>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</si>
  <si>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</si>
  <si>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</si>
  <si>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</si>
  <si>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</si>
  <si>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</si>
  <si>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</si>
  <si>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</si>
  <si>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</si>
  <si>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</si>
  <si>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</si>
  <si>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</si>
  <si>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</si>
  <si>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</si>
  <si>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</si>
  <si>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</si>
  <si>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</si>
  <si>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</si>
  <si>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</si>
  <si>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</si>
  <si>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</si>
  <si>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</si>
  <si>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</si>
  <si>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</si>
  <si>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</si>
  <si>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</si>
  <si>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</si>
  <si>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</si>
  <si>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</si>
  <si>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</si>
  <si>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</si>
  <si>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</si>
  <si>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</si>
  <si>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</si>
  <si>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</si>
  <si>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</si>
  <si>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</si>
  <si>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</si>
  <si>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</si>
  <si>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</si>
  <si>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</si>
  <si>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</si>
  <si>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</si>
  <si>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</si>
  <si>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</si>
  <si>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</si>
  <si>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</si>
  <si>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</si>
  <si>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</si>
  <si>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</si>
  <si>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</si>
  <si>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</si>
  <si>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</si>
  <si>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</si>
  <si>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</si>
  <si>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</si>
  <si>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</si>
  <si>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</si>
  <si>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</si>
  <si>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</si>
  <si>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</si>
  <si>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</si>
  <si>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</si>
  <si>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</si>
  <si>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</si>
  <si>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</si>
  <si>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</si>
  <si>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</si>
  <si>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</si>
  <si>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</si>
  <si>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</si>
  <si>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</si>
  <si>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</si>
  <si>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</si>
  <si>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</si>
  <si>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</si>
  <si>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</si>
  <si>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</si>
  <si>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</si>
  <si>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</si>
  <si>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</si>
  <si>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</si>
  <si>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</si>
  <si>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</si>
  <si>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</si>
  <si>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</si>
  <si>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</si>
  <si>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</si>
  <si>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</si>
  <si>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</si>
  <si>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</si>
  <si>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</si>
  <si>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</si>
  <si>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</si>
  <si>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</si>
  <si>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</si>
  <si>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</si>
  <si>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</si>
  <si>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</si>
  <si>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</si>
  <si>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</si>
  <si>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</si>
  <si>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</si>
  <si>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</si>
  <si>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</si>
  <si>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</si>
  <si>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</si>
  <si>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</si>
  <si>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</si>
  <si>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</si>
  <si>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</si>
  <si>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</si>
  <si>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</si>
  <si>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</si>
  <si>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</si>
  <si>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</si>
  <si>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</si>
  <si>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</si>
  <si>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</si>
  <si>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</si>
  <si>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</si>
  <si>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</si>
  <si>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</si>
  <si>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</si>
  <si>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</si>
  <si>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</si>
  <si>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</si>
  <si>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</si>
  <si>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</si>
  <si>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</si>
  <si>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</si>
  <si>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</si>
  <si>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</si>
  <si>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</si>
  <si>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</si>
  <si>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</si>
  <si>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</si>
  <si>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</si>
  <si>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</si>
  <si>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</si>
  <si>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</si>
  <si>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</si>
  <si>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</si>
  <si>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</si>
  <si>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</si>
  <si>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</si>
  <si>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</si>
  <si>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</si>
  <si>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</si>
  <si>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</si>
  <si>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</si>
  <si>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</si>
  <si>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</si>
  <si>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</si>
  <si>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</si>
  <si>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</si>
  <si>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</si>
  <si>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</si>
  <si>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</si>
  <si>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</si>
  <si>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</si>
  <si>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</si>
  <si>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</si>
  <si>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</si>
  <si>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</si>
  <si>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</si>
  <si>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</si>
  <si>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</si>
  <si>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</si>
  <si>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</si>
  <si>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</si>
  <si>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</si>
  <si>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</si>
  <si>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</si>
  <si>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</si>
  <si>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</si>
  <si>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</si>
  <si>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</si>
  <si>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</si>
  <si>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</si>
  <si>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</si>
  <si>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</si>
  <si>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</si>
  <si>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</si>
  <si>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</si>
  <si>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</si>
  <si>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</si>
  <si>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</si>
  <si>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</si>
  <si>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</si>
  <si>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</si>
  <si>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</si>
  <si>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</si>
  <si>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</si>
  <si>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</si>
  <si>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</si>
  <si>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</si>
  <si>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</si>
  <si>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</si>
  <si>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</si>
  <si>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</si>
  <si>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</si>
  <si>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</si>
  <si>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</si>
  <si>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</si>
  <si>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</si>
  <si>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</si>
  <si>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</si>
  <si>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</si>
  <si>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</si>
  <si>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</si>
  <si>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</si>
  <si>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</si>
  <si>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</si>
  <si>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</si>
  <si>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</si>
  <si>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</si>
  <si>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</si>
  <si>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</si>
  <si>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</si>
  <si>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</si>
  <si>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</si>
  <si>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</si>
  <si>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</si>
  <si>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</si>
  <si>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</si>
  <si>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</si>
  <si>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</si>
  <si>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</si>
  <si>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</si>
  <si>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</si>
  <si>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</si>
  <si>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</si>
  <si>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</si>
  <si>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</si>
  <si>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</si>
  <si>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</si>
  <si>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</si>
  <si>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</si>
  <si>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</si>
  <si>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</si>
  <si>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</si>
  <si>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</si>
  <si>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</si>
  <si>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</si>
  <si>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</si>
  <si>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</si>
  <si>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</si>
  <si>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</si>
  <si>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</si>
  <si>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</si>
  <si>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</si>
  <si>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</si>
  <si>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</si>
  <si>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</si>
  <si>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</si>
  <si>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</si>
  <si>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</si>
  <si>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</si>
  <si>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</si>
  <si>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</si>
  <si>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</si>
  <si>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</si>
  <si>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</si>
  <si>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</si>
  <si>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</si>
  <si>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</si>
  <si>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</si>
  <si>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</si>
  <si>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</si>
  <si>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</si>
  <si>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</si>
  <si>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</si>
  <si>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</si>
  <si>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</si>
  <si>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</si>
  <si>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</si>
  <si>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</si>
  <si>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</si>
  <si>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</si>
  <si>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</si>
  <si>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</si>
  <si>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</si>
  <si>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</si>
  <si>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</si>
  <si>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</si>
  <si>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</si>
  <si>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</si>
  <si>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</si>
  <si>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</si>
  <si>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</si>
  <si>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</si>
  <si>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</si>
  <si>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</si>
  <si>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</si>
  <si>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</si>
  <si>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</si>
  <si>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</si>
  <si>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</si>
  <si>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</si>
  <si>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</si>
  <si>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</si>
  <si>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</si>
  <si>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</si>
  <si>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</si>
  <si>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</si>
  <si>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</si>
  <si>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</si>
  <si>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</si>
  <si>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</si>
  <si>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</si>
  <si>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</si>
  <si>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</si>
  <si>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</si>
  <si>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</si>
  <si>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</si>
  <si>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</si>
  <si>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</si>
  <si>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</si>
  <si>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</si>
  <si>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</si>
  <si>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</si>
  <si>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</si>
  <si>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</si>
  <si>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</si>
  <si>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</si>
  <si>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</si>
  <si>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</si>
  <si>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</si>
  <si>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</si>
  <si>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</si>
  <si>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</si>
  <si>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</si>
  <si>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</si>
  <si>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</si>
  <si>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</si>
  <si>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</si>
  <si>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</si>
  <si>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</si>
  <si>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</si>
  <si>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</si>
  <si>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</si>
  <si>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</si>
  <si>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</si>
  <si>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</si>
  <si>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</si>
  <si>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</si>
  <si>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</si>
  <si>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</si>
  <si>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</si>
  <si>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</si>
  <si>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</si>
  <si>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</si>
  <si>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</si>
  <si>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</si>
  <si>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</si>
  <si>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</si>
  <si>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</si>
  <si>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</si>
  <si>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</si>
  <si>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</si>
  <si>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</si>
  <si>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</si>
  <si>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</si>
  <si>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</si>
  <si>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</si>
  <si>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</si>
  <si>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</si>
  <si>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</si>
  <si>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</si>
  <si>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</si>
  <si>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</si>
  <si>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</si>
  <si>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</si>
  <si>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</si>
  <si>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</si>
  <si>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</si>
  <si>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</si>
  <si>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</si>
  <si>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</si>
  <si>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</si>
  <si>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</si>
  <si>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</si>
  <si>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</si>
  <si>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</si>
  <si>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</si>
  <si>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</si>
  <si>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</si>
  <si>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</si>
  <si>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</si>
  <si>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</si>
  <si>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</si>
  <si>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</si>
  <si>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</si>
  <si>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</si>
  <si>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</si>
  <si>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</si>
  <si>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</si>
  <si>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</si>
  <si>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</si>
  <si>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</si>
  <si>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</si>
  <si>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</si>
  <si>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</si>
  <si>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</si>
  <si>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</si>
  <si>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</si>
  <si>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</si>
  <si>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</si>
  <si>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</si>
  <si>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</si>
  <si>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</si>
  <si>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</si>
  <si>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</si>
  <si>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</si>
  <si>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</si>
  <si>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</si>
  <si>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</si>
  <si>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</si>
  <si>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</si>
  <si>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</si>
  <si>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</si>
  <si>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</si>
  <si>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</si>
  <si>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</si>
  <si>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</si>
  <si>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</si>
  <si>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</si>
  <si>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</si>
  <si>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</si>
  <si>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</si>
  <si>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</si>
  <si>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</si>
  <si>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</si>
  <si>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</si>
  <si>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</si>
  <si>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</si>
  <si>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</si>
  <si>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</si>
  <si>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</si>
  <si>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</si>
  <si>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</si>
  <si>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</si>
  <si>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</si>
  <si>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</si>
  <si>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</si>
  <si>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</si>
  <si>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</si>
  <si>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</si>
  <si>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</si>
  <si>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</si>
  <si>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</si>
  <si>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</si>
  <si>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</si>
  <si>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</si>
  <si>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</si>
  <si>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</si>
  <si>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</si>
  <si>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</si>
  <si>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</si>
  <si>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</si>
  <si>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</si>
  <si>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</si>
  <si>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</si>
  <si>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</si>
  <si>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</si>
  <si>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</si>
  <si>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</si>
  <si>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</si>
  <si>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</si>
  <si>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</si>
  <si>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</si>
  <si>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</si>
  <si>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</si>
  <si>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</si>
  <si>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</si>
  <si>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</si>
  <si>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</si>
  <si>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</si>
  <si>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</si>
  <si>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</si>
  <si>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</si>
  <si>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</si>
  <si>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</si>
  <si>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</si>
  <si>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</si>
  <si>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</si>
  <si>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</si>
  <si>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</si>
  <si>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</si>
  <si>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</si>
  <si>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</si>
  <si>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</si>
  <si>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</si>
  <si>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</si>
  <si>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</si>
  <si>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</si>
  <si>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</si>
  <si>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</si>
  <si>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</si>
  <si>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</si>
  <si>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</si>
  <si>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</si>
  <si>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</si>
  <si>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</si>
  <si>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</si>
  <si>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</si>
  <si>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</si>
  <si>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</si>
  <si>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</si>
  <si>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</si>
  <si>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</si>
  <si>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</si>
  <si>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</si>
  <si>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</si>
  <si>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</si>
  <si>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</si>
  <si>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</si>
  <si>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</si>
  <si>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</si>
  <si>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</si>
  <si>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</si>
  <si>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</si>
  <si>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</si>
  <si>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</si>
  <si>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</si>
  <si>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</si>
  <si>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</si>
  <si>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</si>
  <si>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</si>
  <si>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</si>
  <si>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</si>
  <si>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</si>
  <si>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</si>
  <si>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</si>
  <si>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</si>
  <si>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</si>
  <si>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</si>
  <si>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</si>
  <si>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</si>
  <si>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</si>
  <si>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</si>
  <si>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</si>
  <si>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</si>
  <si>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</si>
  <si>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</si>
  <si>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</si>
  <si>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</si>
  <si>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</si>
  <si>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</si>
  <si>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</si>
  <si>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</si>
  <si>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</si>
  <si>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</si>
  <si>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</si>
  <si>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</si>
  <si>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</si>
  <si>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</si>
  <si>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</si>
  <si>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</si>
  <si>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</si>
  <si>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</si>
  <si>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</si>
  <si>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</si>
  <si>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</si>
  <si>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</si>
  <si>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</si>
  <si>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</si>
  <si>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</si>
  <si>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</si>
  <si>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</si>
  <si>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</si>
  <si>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</si>
  <si>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</si>
  <si>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</si>
  <si>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</si>
  <si>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</si>
  <si>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</si>
  <si>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</si>
  <si>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</si>
  <si>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</si>
  <si>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</si>
  <si>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</si>
  <si>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</si>
  <si>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</si>
  <si>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</si>
  <si>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</si>
  <si>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</si>
  <si>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</si>
  <si>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</si>
  <si>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</si>
  <si>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</si>
  <si>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</si>
  <si>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</si>
  <si>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</si>
  <si>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</si>
  <si>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</si>
  <si>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</si>
  <si>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</si>
  <si>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</si>
  <si>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</si>
  <si>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</si>
  <si>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</si>
  <si>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</si>
  <si>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</si>
  <si>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</si>
  <si>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</si>
  <si>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</si>
  <si>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</si>
  <si>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</si>
  <si>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</si>
  <si>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</si>
  <si>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</si>
  <si>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</si>
  <si>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</si>
  <si>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</si>
  <si>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</si>
  <si>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</si>
  <si>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</si>
  <si>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</si>
  <si>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</si>
  <si>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</si>
  <si>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</si>
  <si>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</si>
  <si>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</si>
  <si>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</si>
  <si>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</si>
  <si>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</si>
  <si>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</si>
  <si>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</si>
  <si>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</si>
  <si>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</si>
  <si>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</si>
  <si>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</si>
  <si>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</si>
  <si>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</si>
  <si>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</si>
  <si>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</si>
  <si>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</si>
  <si>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</si>
  <si>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</si>
  <si>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</si>
  <si>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</si>
  <si>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</si>
  <si>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</si>
  <si>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</si>
  <si>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</si>
  <si>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</si>
  <si>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</si>
  <si>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</si>
  <si>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</si>
  <si>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</si>
  <si>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</si>
  <si>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</si>
  <si>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</si>
  <si>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</si>
  <si>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</si>
  <si>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</si>
  <si>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</si>
  <si>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</si>
  <si>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</si>
  <si>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</si>
  <si>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</si>
  <si>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</si>
  <si>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</si>
  <si>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</si>
  <si>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</si>
  <si>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</si>
  <si>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</si>
  <si>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</si>
  <si>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</si>
  <si>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</si>
  <si>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</si>
  <si>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</si>
  <si>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</si>
  <si>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</si>
  <si>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</si>
  <si>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</si>
  <si>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</si>
  <si>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</si>
  <si>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</si>
  <si>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</si>
  <si>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</si>
  <si>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</si>
  <si>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</si>
  <si>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</si>
  <si>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</si>
  <si>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</si>
  <si>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</si>
  <si>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</si>
  <si>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</si>
  <si>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</si>
  <si>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</si>
  <si>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</si>
  <si>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</si>
  <si>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</si>
  <si>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</si>
  <si>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</si>
  <si>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</si>
  <si>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</si>
  <si>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</si>
  <si>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</si>
  <si>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</si>
  <si>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</si>
  <si>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</si>
  <si>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</si>
  <si>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</si>
  <si>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</si>
  <si>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</si>
  <si>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</si>
  <si>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</si>
  <si>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</si>
  <si>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</si>
  <si>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</si>
  <si>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</si>
  <si>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</si>
  <si>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</si>
  <si>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</si>
  <si>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</si>
  <si>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</si>
  <si>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</si>
  <si>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</si>
  <si>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</si>
  <si>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</si>
  <si>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</si>
  <si>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</si>
  <si>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</si>
  <si>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</si>
  <si>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</si>
  <si>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</si>
  <si>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</si>
  <si>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</si>
  <si>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</si>
  <si>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</si>
  <si>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</si>
  <si>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</si>
  <si>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</si>
  <si>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</si>
  <si>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</si>
  <si>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</si>
  <si>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</si>
  <si>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</si>
  <si>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</si>
  <si>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</si>
  <si>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</si>
  <si>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</si>
  <si>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</si>
  <si>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</si>
  <si>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</si>
  <si>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</si>
  <si>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</si>
  <si>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</si>
  <si>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</si>
  <si>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</si>
  <si>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</si>
  <si>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</si>
  <si>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</si>
  <si>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</si>
  <si>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</si>
  <si>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</si>
  <si>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</si>
  <si>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</si>
  <si>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</si>
  <si>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</si>
  <si>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</si>
  <si>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</si>
  <si>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</si>
  <si>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</si>
  <si>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</si>
  <si>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</si>
  <si>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</si>
  <si>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</si>
  <si>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</si>
  <si>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</si>
  <si>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</si>
  <si>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</si>
  <si>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</si>
  <si>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</si>
  <si>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</si>
  <si>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</si>
  <si>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</si>
  <si>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</si>
  <si>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</si>
  <si>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</si>
  <si>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</si>
  <si>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</si>
  <si>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</si>
  <si>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</si>
  <si>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</si>
  <si>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</si>
  <si>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</si>
  <si>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</si>
  <si>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</si>
  <si>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</si>
  <si>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</si>
  <si>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</si>
  <si>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</si>
  <si>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</si>
  <si>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</si>
  <si>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</si>
  <si>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</si>
  <si>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</si>
  <si>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</si>
  <si>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</si>
  <si>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</si>
  <si>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</si>
  <si>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</si>
  <si>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</si>
  <si>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</si>
  <si>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</si>
  <si>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</si>
  <si>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</si>
  <si>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</si>
  <si>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</si>
  <si>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</si>
  <si>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</si>
  <si>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</si>
  <si>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</si>
  <si>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</si>
  <si>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</si>
  <si>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</si>
  <si>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</si>
  <si>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</si>
  <si>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</si>
  <si>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</si>
  <si>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</si>
  <si>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</si>
  <si>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</si>
  <si>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</si>
  <si>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</si>
  <si>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</si>
  <si>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</si>
  <si>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</si>
  <si>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</si>
  <si>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</si>
  <si>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</si>
  <si>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</si>
  <si>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</si>
  <si>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</si>
  <si>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</si>
  <si>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</si>
  <si>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</si>
  <si>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</si>
  <si>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</si>
  <si>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</si>
  <si>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</si>
  <si>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</si>
  <si>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</si>
  <si>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</si>
  <si>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</si>
  <si>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</si>
  <si>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</si>
  <si>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</si>
  <si>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</si>
  <si>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</si>
  <si>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</si>
  <si>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</si>
  <si>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</si>
  <si>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</si>
  <si>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</si>
  <si>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</si>
  <si>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</si>
  <si>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</si>
  <si>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</si>
  <si>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</si>
  <si>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</si>
  <si>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</si>
  <si>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</si>
  <si>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</si>
  <si>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</si>
  <si>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</si>
  <si>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</si>
  <si>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</si>
  <si>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</si>
  <si>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</si>
  <si>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</si>
  <si>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</si>
  <si>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</si>
  <si>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</si>
  <si>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</si>
  <si>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</si>
  <si>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</si>
  <si>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</si>
  <si>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</si>
  <si>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</si>
  <si>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</si>
  <si>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</si>
  <si>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</si>
  <si>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</si>
  <si>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</si>
  <si>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</si>
  <si>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</si>
  <si>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</si>
  <si>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</si>
  <si>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</si>
  <si>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</si>
  <si>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</si>
  <si>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</si>
  <si>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</si>
  <si>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</si>
  <si>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</si>
  <si>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</si>
  <si>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</si>
  <si>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</si>
  <si>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</si>
  <si>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</si>
  <si>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</si>
  <si>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</si>
  <si>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</si>
  <si>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</si>
  <si>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</si>
  <si>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</si>
  <si>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</si>
  <si>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</si>
  <si>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</si>
  <si>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</si>
  <si>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</si>
  <si>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</si>
  <si>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</si>
  <si>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</si>
  <si>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</si>
  <si>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</si>
  <si>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</si>
  <si>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</si>
  <si>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</si>
  <si>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</si>
  <si>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</si>
  <si>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</si>
  <si>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</si>
  <si>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</si>
  <si>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</si>
  <si>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</si>
  <si>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</si>
  <si>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</si>
  <si>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</si>
  <si>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</si>
  <si>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</si>
  <si>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</si>
  <si>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</si>
  <si>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</si>
  <si>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</si>
  <si>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</si>
  <si>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</si>
  <si>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</si>
  <si>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</si>
  <si>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</si>
  <si>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</si>
  <si>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</si>
  <si>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</si>
  <si>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</si>
  <si>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</si>
  <si>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</si>
  <si>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</si>
  <si>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</si>
  <si>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</si>
  <si>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</si>
  <si>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</si>
  <si>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</si>
  <si>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</si>
  <si>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</si>
  <si>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</si>
  <si>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</si>
  <si>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</si>
  <si>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</si>
  <si>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</si>
  <si>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</si>
  <si>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</si>
  <si>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</si>
  <si>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</si>
  <si>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</si>
  <si>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</si>
  <si>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</si>
  <si>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</si>
  <si>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</si>
  <si>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</si>
  <si>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</si>
  <si>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</si>
  <si>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</si>
  <si>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</si>
  <si>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</si>
  <si>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</si>
  <si>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</si>
  <si>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</si>
  <si>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</si>
  <si>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</si>
  <si>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</si>
  <si>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</si>
  <si>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</si>
  <si>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</si>
  <si>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</si>
  <si>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</si>
  <si>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</si>
  <si>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</si>
  <si>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</si>
  <si>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</si>
  <si>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</si>
  <si>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</si>
  <si>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</si>
  <si>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</si>
  <si>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</si>
  <si>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</si>
  <si>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</si>
  <si>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</si>
  <si>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</si>
  <si>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</si>
  <si>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</si>
  <si>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</si>
  <si>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</si>
  <si>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</si>
  <si>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</si>
  <si>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</si>
  <si>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</si>
  <si>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</si>
  <si>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</si>
  <si>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</si>
  <si>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</si>
  <si>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</si>
  <si>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</si>
  <si>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</si>
  <si>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</si>
  <si>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</si>
  <si>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</si>
  <si>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</si>
  <si>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</si>
  <si>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</si>
  <si>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</si>
  <si>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</si>
  <si>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</si>
  <si>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</si>
  <si>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</si>
  <si>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</si>
  <si>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</si>
  <si>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</si>
  <si>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</si>
  <si>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</si>
  <si>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</si>
  <si>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</si>
  <si>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</si>
  <si>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</si>
  <si>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</si>
  <si>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</si>
  <si>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</si>
  <si>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</si>
  <si>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</si>
  <si>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</si>
  <si>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</si>
  <si>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</si>
  <si>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</si>
  <si>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</si>
  <si>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</si>
  <si>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</si>
  <si>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</si>
  <si>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</si>
  <si>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</si>
  <si>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</si>
  <si>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</si>
  <si>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</si>
  <si>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</si>
  <si>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</si>
  <si>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</si>
  <si>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</si>
  <si>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</si>
  <si>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</si>
  <si>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</si>
  <si>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</si>
  <si>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</si>
  <si>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</si>
  <si>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</si>
  <si>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</si>
  <si>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</si>
  <si>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</si>
  <si>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</si>
  <si>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</si>
  <si>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</si>
  <si>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</si>
  <si>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</si>
  <si>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</si>
  <si>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</si>
  <si>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</si>
  <si>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</si>
  <si>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</si>
  <si>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</si>
  <si>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</si>
  <si>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</si>
  <si>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</si>
  <si>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</si>
  <si>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</si>
  <si>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</si>
  <si>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</si>
  <si>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</si>
  <si>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</si>
  <si>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</si>
  <si>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</si>
  <si>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</si>
  <si>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</si>
  <si>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</si>
  <si>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</si>
  <si>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</si>
  <si>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</si>
  <si>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</si>
  <si>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</si>
  <si>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</si>
  <si>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</si>
  <si>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</si>
  <si>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</si>
  <si>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</si>
  <si>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</si>
  <si>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</si>
  <si>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</si>
  <si>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</si>
  <si>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</si>
  <si>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</si>
  <si>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</si>
  <si>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</si>
  <si>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</si>
  <si>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</si>
  <si>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</si>
  <si>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</si>
  <si>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</si>
  <si>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</si>
  <si>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</si>
  <si>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</si>
  <si>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</si>
  <si>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</si>
  <si>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</si>
  <si>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</si>
  <si>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</si>
  <si>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</si>
  <si>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</si>
  <si>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</si>
  <si>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</si>
  <si>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</si>
  <si>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</si>
  <si>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</si>
  <si>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</si>
  <si>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</si>
  <si>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</si>
  <si>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</si>
  <si>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</si>
  <si>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</si>
  <si>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</si>
  <si>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</si>
  <si>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</si>
  <si>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</si>
  <si>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</si>
  <si>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</si>
  <si>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</si>
  <si>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</si>
  <si>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</si>
  <si>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</si>
  <si>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</si>
  <si>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</si>
  <si>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</si>
  <si>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</si>
  <si>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</si>
  <si>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</si>
  <si>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</si>
  <si>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</si>
  <si>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</si>
  <si>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</si>
  <si>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</si>
  <si>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</si>
  <si>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</si>
  <si>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</si>
  <si>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</si>
  <si>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</si>
  <si>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</si>
  <si>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</si>
  <si>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</si>
  <si>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</si>
  <si>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</si>
  <si>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</si>
  <si>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</si>
  <si>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</si>
  <si>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</si>
  <si>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</si>
  <si>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</si>
  <si>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</si>
  <si>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</si>
  <si>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</si>
  <si>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</si>
  <si>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</si>
  <si>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</si>
  <si>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</si>
  <si>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</si>
  <si>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</si>
  <si>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</si>
  <si>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</si>
  <si>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</si>
  <si>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</si>
  <si>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</si>
  <si>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</si>
  <si>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</si>
  <si>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</si>
  <si>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</si>
  <si>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</si>
  <si>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</si>
  <si>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</si>
  <si>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</si>
  <si>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</si>
  <si>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</si>
  <si>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</si>
  <si>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</si>
  <si>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</si>
  <si>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</si>
  <si>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</si>
  <si>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</si>
  <si>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</si>
  <si>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</si>
  <si>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</si>
  <si>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</si>
  <si>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</si>
  <si>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</si>
  <si>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</si>
  <si>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</si>
  <si>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</si>
  <si>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</si>
  <si>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</si>
  <si>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</si>
  <si>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</si>
  <si>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</si>
  <si>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</si>
  <si>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</si>
  <si>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</si>
  <si>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</si>
  <si>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</si>
  <si>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</si>
  <si>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</si>
  <si>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</si>
  <si>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</si>
  <si>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</si>
  <si>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</si>
  <si>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</si>
  <si>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</si>
  <si>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</si>
  <si>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</si>
  <si>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</si>
  <si>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</si>
  <si>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</si>
  <si>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</si>
  <si>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</si>
  <si>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</si>
  <si>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</si>
  <si>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</si>
  <si>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</si>
  <si>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</si>
  <si>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</si>
  <si>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</si>
  <si>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</si>
  <si>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</si>
  <si>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</si>
  <si>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</si>
  <si>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</si>
  <si>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</si>
  <si>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</si>
  <si>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</si>
  <si>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</si>
  <si>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</si>
  <si>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</si>
  <si>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</si>
  <si>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</si>
  <si>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</si>
  <si>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</si>
  <si>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</si>
  <si>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</si>
  <si>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</si>
  <si>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</si>
  <si>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</si>
  <si>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</si>
  <si>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</si>
  <si>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</si>
  <si>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</si>
  <si>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</si>
  <si>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</si>
  <si>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</si>
  <si>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</si>
  <si>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</si>
  <si>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</si>
  <si>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</si>
  <si>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</si>
  <si>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</si>
  <si>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</si>
  <si>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</si>
  <si>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</si>
  <si>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</si>
  <si>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</si>
  <si>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</si>
  <si>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</si>
  <si>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</si>
  <si>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</si>
  <si>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</si>
  <si>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</si>
  <si>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</si>
  <si>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</si>
  <si>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</si>
  <si>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</si>
  <si>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</si>
  <si>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</si>
  <si>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</si>
  <si>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</si>
  <si>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</si>
  <si>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</si>
  <si>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</si>
  <si>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</si>
  <si>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</si>
  <si>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</si>
  <si>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</si>
  <si>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</si>
  <si>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</si>
  <si>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</si>
  <si>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</si>
  <si>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</si>
  <si>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</si>
  <si>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</si>
  <si>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</si>
  <si>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</si>
  <si>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</si>
  <si>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</si>
  <si>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</si>
  <si>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</si>
  <si>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</si>
  <si>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</si>
  <si>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</si>
  <si>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</si>
  <si>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</si>
  <si>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</si>
  <si>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</si>
  <si>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</si>
  <si>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</si>
  <si>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</si>
  <si>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</si>
  <si>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</si>
  <si>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</si>
  <si>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</si>
  <si>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</si>
  <si>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</si>
  <si>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</si>
  <si>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</si>
  <si>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</si>
  <si>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</si>
  <si>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</si>
  <si>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</si>
  <si>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</si>
  <si>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</si>
  <si>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</si>
  <si>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</si>
  <si>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</si>
  <si>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</si>
  <si>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</si>
  <si>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</si>
  <si>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</si>
  <si>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</si>
  <si>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</si>
  <si>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</si>
  <si>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</si>
  <si>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</si>
  <si>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</si>
  <si>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</si>
  <si>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</si>
  <si>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</si>
  <si>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</si>
  <si>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</si>
  <si>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</si>
  <si>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</si>
  <si>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</si>
  <si>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</si>
  <si>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</si>
  <si>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</si>
  <si>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</si>
  <si>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</si>
  <si>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</si>
  <si>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</si>
  <si>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</si>
  <si>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</si>
  <si>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</si>
  <si>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</si>
  <si>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</si>
  <si>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</si>
  <si>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</si>
  <si>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</si>
  <si>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</si>
  <si>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</si>
  <si>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</si>
  <si>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</si>
  <si>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</si>
  <si>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</si>
  <si>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</si>
  <si>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</si>
  <si>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</si>
  <si>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</si>
  <si>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</si>
  <si>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</si>
  <si>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</si>
  <si>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</si>
  <si>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</si>
  <si>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</si>
  <si>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</si>
  <si>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</si>
  <si>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</si>
  <si>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</si>
  <si>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</si>
  <si>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</si>
  <si>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</si>
  <si>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</si>
  <si>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</si>
  <si>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</si>
  <si>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</si>
  <si>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</si>
  <si>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</si>
  <si>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</si>
  <si>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</si>
  <si>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</si>
  <si>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</si>
  <si>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</si>
  <si>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</si>
  <si>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</si>
  <si>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</si>
  <si>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</si>
  <si>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</si>
  <si>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</si>
  <si>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</si>
  <si>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</si>
  <si>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</si>
  <si>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</si>
  <si>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</si>
  <si>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</si>
  <si>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</si>
  <si>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</si>
  <si>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</si>
  <si>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</si>
  <si>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</si>
  <si>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</si>
  <si>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</si>
  <si>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</si>
  <si>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</si>
  <si>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</si>
  <si>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</si>
  <si>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</si>
  <si>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</si>
  <si>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</si>
  <si>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</si>
  <si>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</si>
  <si>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</si>
  <si>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</si>
  <si>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</si>
  <si>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</si>
  <si>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</si>
  <si>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</si>
  <si>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</si>
  <si>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</si>
  <si>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</si>
  <si>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</si>
  <si>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</si>
  <si>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</si>
  <si>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</si>
  <si>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</si>
  <si>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</si>
  <si>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</si>
  <si>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</si>
  <si>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</si>
  <si>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</si>
  <si>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</si>
  <si>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</si>
  <si>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</si>
  <si>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</si>
  <si>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</si>
  <si>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</si>
  <si>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</si>
  <si>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</si>
  <si>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</si>
  <si>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</si>
  <si>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</si>
  <si>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</si>
  <si>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</si>
  <si>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</si>
  <si>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</si>
  <si>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</si>
  <si>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</si>
  <si>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</si>
  <si>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</si>
  <si>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</si>
  <si>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</si>
  <si>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</si>
  <si>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</si>
  <si>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</si>
  <si>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</si>
  <si>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</si>
  <si>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</si>
  <si>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</si>
  <si>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</si>
  <si>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</si>
  <si>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</si>
  <si>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</si>
  <si>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</si>
  <si>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</si>
  <si>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</si>
  <si>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</si>
  <si>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</si>
  <si>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</si>
  <si>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</si>
  <si>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</si>
  <si>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</si>
  <si>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</si>
  <si>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</si>
  <si>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</si>
  <si>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</si>
  <si>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</si>
  <si>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</si>
  <si>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</si>
  <si>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</si>
  <si>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</si>
  <si>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</si>
  <si>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</si>
  <si>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</si>
  <si>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</si>
  <si>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</si>
  <si>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</si>
  <si>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</si>
  <si>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</si>
  <si>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</si>
  <si>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</si>
  <si>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</si>
  <si>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</si>
  <si>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</si>
  <si>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</si>
  <si>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</si>
  <si>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</si>
  <si>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</si>
  <si>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</si>
  <si>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</si>
  <si>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</si>
  <si>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</si>
  <si>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</si>
  <si>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</si>
  <si>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</si>
  <si>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</si>
  <si>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</si>
  <si>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</si>
  <si>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</si>
  <si>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</si>
  <si>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</si>
  <si>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</si>
  <si>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</si>
  <si>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</si>
  <si>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</si>
  <si>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</si>
  <si>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</si>
  <si>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</si>
  <si>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</si>
  <si>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</si>
  <si>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</si>
  <si>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</si>
  <si>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</si>
  <si>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</si>
  <si>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</si>
  <si>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</si>
  <si>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</si>
  <si>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</si>
  <si>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</si>
  <si>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</si>
  <si>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</si>
  <si>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</si>
  <si>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</si>
  <si>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</si>
  <si>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</si>
  <si>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</si>
  <si>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</si>
  <si>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</si>
  <si>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</si>
  <si>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</si>
  <si>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</si>
  <si>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</si>
  <si>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</si>
  <si>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</si>
  <si>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</si>
  <si>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</si>
  <si>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</si>
  <si>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</si>
  <si>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</si>
  <si>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</si>
  <si>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</si>
  <si>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</si>
  <si>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</si>
  <si>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</si>
  <si>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</si>
  <si>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</si>
  <si>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</si>
  <si>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</si>
  <si>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</si>
  <si>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</si>
  <si>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</si>
  <si>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</si>
  <si>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</si>
  <si>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</si>
  <si>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</si>
  <si>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</si>
  <si>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</si>
  <si>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</si>
  <si>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</si>
  <si>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</si>
  <si>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</si>
  <si>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</si>
  <si>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</si>
  <si>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</si>
  <si>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</si>
  <si>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</si>
  <si>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</si>
  <si>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</si>
  <si>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</si>
  <si>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</si>
  <si>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</si>
  <si>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</si>
  <si>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</si>
  <si>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</si>
  <si>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</si>
  <si>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</si>
  <si>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</si>
  <si>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</si>
  <si>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</si>
  <si>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</si>
  <si>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</si>
  <si>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</si>
  <si>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</si>
  <si>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</si>
  <si>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</si>
  <si>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</si>
  <si>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</si>
  <si>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</si>
  <si>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</si>
  <si>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</si>
  <si>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</si>
  <si>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</si>
  <si>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</si>
  <si>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</si>
  <si>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</si>
  <si>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</si>
  <si>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</si>
  <si>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</si>
  <si>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</si>
  <si>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</si>
  <si>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</si>
  <si>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</si>
  <si>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</si>
  <si>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</si>
  <si>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</si>
  <si>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</si>
  <si>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</si>
  <si>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</si>
  <si>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</si>
  <si>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</si>
  <si>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</si>
  <si>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</si>
  <si>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</si>
  <si>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</si>
  <si>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</si>
  <si>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</si>
  <si>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</si>
  <si>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</si>
  <si>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</si>
  <si>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</si>
  <si>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</si>
  <si>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</si>
  <si>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</si>
  <si>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</si>
  <si>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</si>
  <si>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</si>
  <si>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</si>
  <si>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</si>
  <si>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</si>
  <si>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</si>
  <si>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</si>
  <si>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</si>
  <si>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</si>
  <si>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</si>
  <si>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</si>
  <si>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</si>
  <si>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</si>
  <si>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</si>
  <si>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</si>
  <si>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</si>
  <si>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</si>
  <si>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</si>
  <si>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</si>
  <si>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</si>
  <si>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</si>
  <si>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</si>
  <si>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</si>
  <si>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</si>
  <si>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</si>
  <si>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</si>
  <si>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</si>
  <si>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</si>
  <si>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</si>
  <si>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</si>
  <si>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</si>
  <si>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</si>
  <si>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</si>
  <si>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</si>
  <si>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</si>
  <si>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</si>
  <si>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</si>
  <si>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</si>
  <si>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</si>
  <si>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</si>
  <si>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</si>
  <si>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</si>
  <si>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</si>
  <si>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</si>
  <si>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</si>
  <si>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</si>
  <si>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</si>
  <si>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</si>
  <si>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</si>
  <si>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</si>
  <si>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</si>
  <si>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</si>
  <si>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</si>
  <si>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</si>
  <si>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</si>
  <si>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</si>
  <si>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</si>
  <si>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</si>
  <si>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</si>
  <si>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</si>
  <si>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</si>
  <si>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</si>
  <si>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</si>
  <si>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</si>
  <si>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</si>
  <si>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</si>
  <si>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</si>
  <si>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</si>
  <si>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</si>
  <si>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</si>
  <si>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</si>
  <si>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</si>
  <si>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</si>
  <si>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</si>
  <si>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</si>
  <si>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</si>
  <si>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</si>
  <si>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</si>
  <si>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</si>
  <si>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</si>
  <si>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</si>
  <si>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</si>
  <si>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</si>
  <si>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</si>
  <si>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</si>
  <si>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</si>
  <si>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</si>
  <si>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</si>
  <si>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</si>
  <si>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</si>
  <si>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</si>
  <si>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</si>
  <si>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</si>
  <si>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</si>
  <si>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</si>
  <si>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</si>
  <si>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</si>
  <si>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</si>
  <si>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</si>
  <si>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</si>
  <si>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</si>
  <si>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</si>
  <si>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</si>
  <si>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</si>
  <si>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</si>
  <si>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</si>
  <si>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</si>
  <si>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</si>
  <si>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</si>
  <si>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</si>
  <si>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</si>
  <si>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</si>
  <si>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</si>
  <si>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</si>
  <si>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</si>
  <si>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</si>
  <si>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</si>
  <si>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</si>
  <si>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</si>
  <si>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</si>
  <si>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</si>
  <si>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</si>
  <si>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</si>
  <si>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</si>
  <si>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</si>
  <si>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</si>
  <si>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</si>
  <si>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</si>
  <si>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</si>
  <si>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</si>
  <si>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</si>
  <si>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</si>
  <si>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</si>
  <si>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</si>
  <si>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</si>
  <si>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</si>
  <si>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</si>
  <si>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</si>
  <si>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</si>
  <si>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</si>
  <si>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</si>
  <si>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</si>
  <si>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</si>
  <si>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</si>
  <si>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</si>
  <si>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</si>
  <si>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</si>
  <si>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</si>
  <si>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</si>
  <si>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</si>
  <si>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</si>
  <si>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</si>
  <si>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</si>
  <si>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</si>
  <si>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</si>
  <si>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</si>
  <si>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</si>
  <si>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</si>
  <si>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</si>
  <si>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</si>
  <si>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</si>
  <si>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</si>
  <si>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</si>
  <si>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</si>
  <si>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</si>
  <si>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</si>
  <si>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</si>
  <si>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</si>
  <si>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</si>
  <si>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</si>
  <si>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</si>
  <si>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</si>
  <si>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</si>
  <si>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</si>
  <si>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</si>
  <si>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</si>
  <si>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</si>
  <si>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</si>
  <si>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</si>
  <si>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</si>
  <si>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</si>
  <si>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</si>
  <si>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</si>
  <si>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</si>
  <si>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</si>
  <si>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</si>
  <si>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</si>
  <si>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</si>
  <si>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</si>
  <si>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</si>
  <si>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</si>
  <si>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</si>
  <si>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</si>
  <si>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</si>
  <si>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</si>
  <si>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</si>
  <si>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</si>
  <si>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</si>
  <si>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</si>
  <si>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</si>
  <si>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</si>
  <si>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</si>
  <si>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</si>
  <si>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</si>
  <si>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</si>
  <si>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</si>
  <si>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</si>
  <si>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</si>
  <si>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</si>
  <si>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</si>
  <si>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</si>
  <si>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</si>
  <si>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</si>
  <si>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</si>
  <si>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</si>
  <si>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</si>
  <si>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</si>
  <si>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</si>
  <si>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</si>
  <si>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</si>
  <si>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</si>
  <si>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</si>
  <si>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</si>
  <si>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</si>
  <si>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</si>
  <si>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</si>
  <si>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</si>
  <si>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</si>
  <si>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</si>
  <si>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</si>
  <si>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</si>
  <si>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</si>
  <si>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</si>
  <si>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</si>
  <si>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</si>
  <si>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</si>
  <si>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</si>
  <si>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</si>
  <si>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</si>
  <si>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</si>
  <si>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</si>
  <si>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</si>
  <si>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</si>
  <si>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</si>
  <si>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</si>
  <si>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</si>
  <si>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</si>
  <si>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</si>
  <si>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</si>
  <si>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</si>
  <si>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</si>
  <si>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</si>
  <si>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</si>
  <si>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</si>
  <si>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</si>
  <si>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</si>
  <si>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</si>
  <si>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</si>
  <si>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</si>
  <si>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</si>
  <si>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</si>
  <si>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</si>
  <si>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</si>
  <si>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</si>
  <si>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</si>
  <si>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</si>
  <si>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</si>
  <si>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</si>
  <si>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</si>
  <si>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</si>
  <si>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</si>
  <si>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</si>
  <si>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</si>
  <si>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</si>
  <si>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</si>
  <si>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</si>
  <si>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</si>
  <si>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</si>
  <si>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</si>
  <si>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</si>
  <si>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</si>
  <si>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</si>
  <si>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</si>
  <si>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</si>
  <si>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</si>
  <si>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</si>
  <si>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</si>
  <si>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</si>
  <si>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</si>
  <si>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</si>
  <si>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</si>
  <si>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</si>
  <si>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</si>
  <si>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</si>
  <si>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</si>
  <si>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</si>
  <si>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</si>
  <si>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</si>
  <si>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</si>
  <si>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</si>
  <si>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</si>
  <si>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</si>
  <si>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</si>
  <si>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</si>
  <si>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</si>
  <si>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</si>
  <si>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</si>
  <si>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</si>
  <si>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</si>
  <si>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</si>
  <si>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</si>
  <si>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</si>
  <si>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</si>
  <si>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</si>
  <si>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</si>
  <si>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</si>
  <si>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</si>
  <si>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</si>
  <si>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</si>
  <si>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</si>
  <si>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</si>
  <si>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</si>
  <si>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</si>
  <si>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</si>
  <si>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</si>
  <si>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</si>
  <si>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</si>
  <si>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</si>
  <si>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</si>
  <si>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</si>
  <si>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</si>
  <si>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</si>
  <si>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</si>
  <si>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</si>
  <si>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</si>
  <si>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</si>
  <si>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</si>
  <si>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</si>
  <si>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</si>
  <si>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</si>
  <si>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</si>
  <si>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</si>
  <si>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</si>
  <si>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</si>
  <si>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</si>
  <si>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</si>
  <si>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</si>
  <si>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</si>
  <si>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</si>
  <si>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</si>
  <si>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</si>
  <si>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</si>
  <si>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</si>
  <si>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</si>
  <si>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</si>
  <si>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</si>
  <si>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</si>
  <si>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</si>
  <si>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</si>
  <si>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</si>
  <si>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</si>
  <si>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</si>
  <si>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</si>
  <si>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</si>
  <si>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</si>
  <si>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</si>
  <si>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</si>
  <si>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</si>
  <si>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</si>
  <si>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</si>
  <si>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</si>
  <si>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</si>
  <si>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</si>
  <si>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</si>
  <si>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</si>
  <si>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</si>
  <si>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</si>
  <si>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</si>
  <si>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</si>
  <si>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</si>
  <si>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</si>
  <si>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</si>
  <si>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</si>
  <si>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</si>
  <si>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</si>
  <si>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</si>
  <si>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</si>
  <si>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</si>
  <si>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</si>
  <si>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</si>
  <si>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</si>
  <si>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</si>
  <si>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</si>
  <si>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</si>
  <si>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</si>
  <si>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</si>
  <si>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</si>
  <si>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</si>
  <si>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</si>
  <si>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</si>
  <si>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</si>
  <si>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</si>
  <si>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</si>
  <si>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</si>
  <si>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</si>
  <si>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</si>
  <si>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</si>
  <si>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</si>
  <si>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</si>
  <si>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</si>
  <si>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</si>
  <si>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</si>
  <si>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</si>
  <si>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</si>
  <si>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</si>
  <si>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</si>
  <si>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</si>
  <si>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</si>
  <si>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</si>
  <si>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</si>
  <si>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</si>
  <si>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</si>
  <si>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</si>
  <si>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</si>
  <si>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</si>
  <si>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</si>
  <si>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</si>
  <si>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</si>
  <si>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</si>
  <si>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</si>
  <si>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</si>
  <si>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</si>
  <si>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</si>
  <si>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</si>
  <si>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</si>
  <si>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</si>
  <si>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</si>
  <si>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</si>
  <si>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</si>
  <si>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</si>
  <si>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</si>
  <si>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</si>
  <si>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</si>
  <si>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</si>
  <si>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</si>
  <si>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</si>
  <si>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</si>
  <si>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</si>
  <si>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</si>
  <si>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</si>
  <si>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</si>
  <si>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</si>
  <si>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</si>
  <si>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</si>
  <si>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</si>
  <si>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</si>
  <si>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</si>
  <si>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</si>
  <si>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</si>
  <si>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</si>
  <si>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</si>
  <si>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</si>
  <si>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</si>
  <si>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</si>
  <si>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</si>
  <si>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</si>
  <si>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</si>
  <si>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</si>
  <si>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</si>
  <si>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</si>
  <si>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</si>
  <si>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</si>
  <si>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</si>
  <si>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</si>
  <si>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</si>
  <si>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</si>
  <si>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</si>
  <si>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</si>
  <si>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</si>
  <si>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</si>
  <si>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</si>
  <si>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</si>
  <si>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</si>
  <si>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</si>
  <si>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</si>
  <si>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</si>
  <si>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</si>
  <si>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</si>
  <si>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</si>
  <si>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</si>
  <si>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</si>
  <si>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</si>
  <si>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</si>
  <si>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</si>
  <si>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</si>
  <si>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</si>
  <si>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</si>
  <si>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</si>
  <si>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</si>
  <si>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</si>
  <si>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</si>
  <si>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</si>
  <si>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</si>
  <si>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</si>
  <si>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</si>
  <si>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</si>
  <si>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</si>
  <si>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</si>
  <si>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</si>
  <si>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</si>
  <si>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</si>
  <si>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</si>
  <si>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</si>
  <si>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</si>
  <si>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</si>
  <si>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</si>
  <si>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</si>
  <si>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</si>
  <si>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</si>
  <si>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</si>
  <si>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</si>
  <si>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</si>
  <si>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</si>
  <si>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</si>
  <si>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</si>
  <si>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</si>
  <si>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</si>
  <si>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</si>
  <si>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</si>
  <si>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</si>
  <si>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</si>
  <si>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</si>
  <si>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</si>
  <si>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</si>
  <si>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</si>
  <si>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</si>
  <si>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</si>
  <si>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</si>
  <si>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</si>
  <si>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</si>
  <si>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</si>
  <si>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</si>
  <si>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</si>
  <si>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</si>
  <si>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</si>
  <si>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</si>
  <si>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</si>
  <si>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</si>
  <si>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</si>
  <si>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</si>
  <si>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</si>
  <si>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</si>
  <si>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</si>
  <si>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</si>
  <si>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</si>
  <si>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</si>
  <si>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</si>
  <si>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</si>
  <si>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</si>
  <si>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</si>
  <si>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</si>
  <si>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</si>
  <si>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</si>
  <si>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</si>
  <si>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</si>
  <si>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</si>
  <si>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</si>
  <si>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</si>
  <si>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</si>
  <si>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</si>
  <si>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</si>
  <si>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</si>
  <si>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</si>
  <si>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</si>
  <si>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</si>
  <si>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</si>
  <si>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</si>
  <si>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</t>
  </si>
  <si>
    <t>unit price</t>
  </si>
  <si>
    <t>total price</t>
  </si>
  <si>
    <t>quantity</t>
  </si>
  <si>
    <t>mean</t>
  </si>
  <si>
    <t>median</t>
  </si>
  <si>
    <t>min</t>
  </si>
  <si>
    <t>max</t>
  </si>
  <si>
    <t>count</t>
  </si>
  <si>
    <t>outliers</t>
  </si>
  <si>
    <t>q1</t>
  </si>
  <si>
    <t>q3</t>
  </si>
  <si>
    <t>IQR</t>
  </si>
  <si>
    <t>lower bound</t>
  </si>
  <si>
    <t>upper bound</t>
  </si>
  <si>
    <t>outlier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</si>
</sst>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70" formatCode="0.0_ ;\-0.0\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0" fontId="2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C298D-A40D-4699-BC0B-758743283BD6}" name="Table1" displayName="Table1" ref="A1:D6" totalsRowShown="0" headerRowDxfId="1">
  <autoFilter ref="A1:D6" xr:uid="{D25C298D-A40D-4699-BC0B-758743283BD6}"/>
  <tableColumns count="4">
    <tableColumn id="1" xr3:uid="{801F01F0-DCB4-411D-A29F-6CB2BD0B6583}" name="metric"/>
    <tableColumn id="2" xr3:uid="{238240A7-57D6-4588-A7D8-4AF482BE3F93}" name="unit price" dataDxfId="2"/>
    <tableColumn id="3" xr3:uid="{288E39BC-ECA7-49C2-B9A6-F59C1A7F8766}" name="total price"/>
    <tableColumn id="4" xr3:uid="{105BC8EB-EA97-4701-B99D-839BD77DB405}" name="quantity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AF4BE-4453-455B-9B02-D2D1564D66F8}" name="Table3" displayName="Table3" ref="A8:G12" totalsRowShown="0">
  <autoFilter ref="A8:G12" xr:uid="{178AF4BE-4453-455B-9B02-D2D1564D66F8}"/>
  <tableColumns count="7">
    <tableColumn id="1" xr3:uid="{268BD2BF-6883-4906-B5AB-76F9E91CE9E3}" name="outliers" dataDxfId="0"/>
    <tableColumn id="2" xr3:uid="{7C86CBC9-614B-49D8-BC64-7896E2762EA8}" name="q1"/>
    <tableColumn id="3" xr3:uid="{7E430166-FE3E-4976-BE06-FB464A071873}" name="q3"/>
    <tableColumn id="4" xr3:uid="{A1C2FD87-D8F2-40F8-A9C9-5BB54B6B1B04}" name="IQR">
      <calculatedColumnFormula>C9-B9</calculatedColumnFormula>
    </tableColumn>
    <tableColumn id="5" xr3:uid="{35EF53F2-DAB4-453B-9E52-3A751A968546}" name="lower bound"/>
    <tableColumn id="6" xr3:uid="{C9A7A15A-8A05-4F7A-B223-19D3AF199DFC}" name="upper bound">
      <calculatedColumnFormula>C9+(1.5*D9)</calculatedColumnFormula>
    </tableColumn>
    <tableColumn id="7" xr3:uid="{D03B8C05-686E-4312-8D74-36AB1402C910}" name="outlier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1" sqref="O1"/>
    </sheetView>
  </sheetViews>
  <sheetFormatPr defaultRowHeight="14.4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style="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style="7" bestFit="1" customWidth="1"/>
  </cols>
  <sheetData>
    <row r="1" spans="1:14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7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7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7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7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7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7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7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7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7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7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7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7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7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7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7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7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7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7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7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7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7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7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7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7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7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7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7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7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7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7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7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7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7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7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7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7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7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7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7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7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7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7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7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7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7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7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7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7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7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7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7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7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7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7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7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7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7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7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7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7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7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7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7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7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7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7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7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7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7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7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7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7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7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7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7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7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7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7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7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7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7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7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7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7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7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7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7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7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7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7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7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7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7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7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7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7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7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7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7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7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7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7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7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7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7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7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7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7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7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7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7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7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7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7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7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7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7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7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7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7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7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7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7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7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7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7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7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7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7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7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7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7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7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7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7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7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7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7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7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7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7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7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7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7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7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7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7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7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7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7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7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7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7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7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7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7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7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7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7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7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7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7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7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7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7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7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7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7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7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7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7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7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7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7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7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7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7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7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7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7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7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7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7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7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7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7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7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7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7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7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7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7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7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7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7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7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7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7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7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7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7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7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7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7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7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7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7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7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7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7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7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7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7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7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7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7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7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7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7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7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7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7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7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7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7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7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7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7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7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7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7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7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7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7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7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7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7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7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7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7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7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7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7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7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7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7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7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7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7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7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7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7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7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7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7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7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7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7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7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7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7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7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7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7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7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7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7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7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7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7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7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7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7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7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7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7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7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7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7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7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7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</row>
  </sheetData>
  <autoFilter ref="A1:O1201" xr:uid="{00000000-0001-0000-0000-000000000000}"/>
  <conditionalFormatting sqref="J1:J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37E5-5A7F-47AB-A0A0-3AE10F2CAADF}">
  <dimension ref="A1:G12"/>
  <sheetViews>
    <sheetView tabSelected="1" workbookViewId="0">
      <selection activeCell="C7" sqref="C7"/>
    </sheetView>
  </sheetViews>
  <sheetFormatPr defaultRowHeight="14.4"/>
  <cols>
    <col min="1" max="1" width="10.44140625" bestFit="1" customWidth="1"/>
    <col min="2" max="2" width="10.77734375" customWidth="1"/>
    <col min="3" max="3" width="11.33203125" customWidth="1"/>
    <col min="4" max="4" width="12" bestFit="1" customWidth="1"/>
    <col min="5" max="6" width="13.109375" customWidth="1"/>
    <col min="7" max="7" width="13.33203125" customWidth="1"/>
  </cols>
  <sheetData>
    <row r="1" spans="1:7">
      <c r="A1" s="9" t="s">
        <v>4284</v>
      </c>
      <c r="B1" s="9" t="s">
        <v>4285</v>
      </c>
      <c r="C1" s="9" t="s">
        <v>4286</v>
      </c>
      <c r="D1" s="9" t="s">
        <v>4287</v>
      </c>
    </row>
    <row r="2" spans="1:7">
      <c r="A2" t="s">
        <v>4288</v>
      </c>
      <c r="B2" s="5">
        <f>AVERAGE('cleaned data'!F2:F1201)</f>
        <v>356.41275000000007</v>
      </c>
      <c r="C2">
        <f>AVERAGE('cleaned data'!N2:N1201)</f>
        <v>1053.9683000000005</v>
      </c>
      <c r="D2">
        <f>AVERAGE('cleaned data'!E2:E1201)</f>
        <v>2.9458333333333333</v>
      </c>
    </row>
    <row r="3" spans="1:7">
      <c r="A3" t="s">
        <v>4289</v>
      </c>
      <c r="B3" s="5">
        <f>MEDIAN('cleaned data'!F2:F1201)</f>
        <v>364.21</v>
      </c>
      <c r="C3">
        <f>MEDIAN('cleaned data'!N2:N1201)</f>
        <v>823.61500000000001</v>
      </c>
      <c r="D3">
        <f>MEDIAN('cleaned data'!E2:E1201)</f>
        <v>3</v>
      </c>
    </row>
    <row r="4" spans="1:7">
      <c r="A4" t="s">
        <v>4290</v>
      </c>
      <c r="B4" s="5">
        <f>MIN('cleaned data'!F2:F1201)</f>
        <v>11.39</v>
      </c>
      <c r="C4">
        <f>MIN('cleaned data'!N2:N1201)</f>
        <v>11.39</v>
      </c>
      <c r="D4">
        <f>MIN('cleaned data'!E2:E1201)</f>
        <v>1</v>
      </c>
    </row>
    <row r="5" spans="1:7">
      <c r="A5" t="s">
        <v>4291</v>
      </c>
      <c r="B5" s="5">
        <f>MAX('cleaned data'!F2:F1201)</f>
        <v>699.93</v>
      </c>
      <c r="C5">
        <f>MAX('cleaned data'!N2:N1201)</f>
        <v>3456.4</v>
      </c>
      <c r="D5">
        <f>MAX('cleaned data'!E2:E1201)</f>
        <v>5</v>
      </c>
    </row>
    <row r="6" spans="1:7">
      <c r="A6" t="s">
        <v>4292</v>
      </c>
      <c r="B6">
        <f>COUNT('cleaned data'!F2:F1201)</f>
        <v>1200</v>
      </c>
      <c r="C6">
        <f>COUNT('cleaned data'!N2:N1201)</f>
        <v>1200</v>
      </c>
      <c r="D6">
        <f>COUNT('cleaned data'!E2:E1201)</f>
        <v>1200</v>
      </c>
    </row>
    <row r="8" spans="1:7">
      <c r="A8" s="9" t="s">
        <v>4293</v>
      </c>
      <c r="B8" s="9" t="s">
        <v>4294</v>
      </c>
      <c r="C8" t="s">
        <v>4295</v>
      </c>
      <c r="D8" t="s">
        <v>4296</v>
      </c>
      <c r="E8" t="s">
        <v>4297</v>
      </c>
      <c r="F8" t="s">
        <v>4298</v>
      </c>
      <c r="G8" t="s">
        <v>4299</v>
      </c>
    </row>
    <row r="10" spans="1:7">
      <c r="A10" s="8" t="s">
        <v>5</v>
      </c>
      <c r="B10">
        <f>QUARTILE('cleaned data'!F:F,1)</f>
        <v>186.0625</v>
      </c>
      <c r="C10">
        <f>QUARTILE('cleaned data'!F:F,3)</f>
        <v>521.56999999999994</v>
      </c>
      <c r="D10">
        <f>C10-B10</f>
        <v>335.50749999999994</v>
      </c>
      <c r="E10">
        <f>B10-(1.5*D10)</f>
        <v>-317.1987499999999</v>
      </c>
      <c r="F10">
        <f>C10+(1.5*D10)</f>
        <v>1024.8312499999997</v>
      </c>
      <c r="G10" cm="1">
        <f t="array" ref="G10">SUMPRODUCT(('cleaned data'!F2:F1201&lt;'EDA summary'!E10)+('cleaned data'!F2:F1201&gt;'EDA summary'!F10))</f>
        <v>0</v>
      </c>
    </row>
    <row r="11" spans="1:7">
      <c r="A11" s="8" t="s">
        <v>13</v>
      </c>
      <c r="B11">
        <f>QUARTILE('cleaned data'!N:N,1)</f>
        <v>410.52</v>
      </c>
      <c r="C11">
        <f>QUARTILE('cleaned data'!N:N,3)</f>
        <v>1578.4749999999999</v>
      </c>
      <c r="D11">
        <f>C11-B11</f>
        <v>1167.9549999999999</v>
      </c>
      <c r="E11">
        <f>B11-(1.5*D11)</f>
        <v>-1341.4124999999999</v>
      </c>
      <c r="F11">
        <f>C11+(1.5*D11)</f>
        <v>3330.4074999999998</v>
      </c>
      <c r="G11" cm="1">
        <f t="array" ref="G11">SUMPRODUCT('cleaned data'!N2:N1201&lt;'EDA summary'!E11,'cleaned data'!N2:N1201&gt;'EDA summary'!F11)</f>
        <v>0</v>
      </c>
    </row>
    <row r="12" spans="1:7">
      <c r="A12" s="8" t="s">
        <v>4</v>
      </c>
      <c r="B12">
        <f>QUARTILE('cleaned data'!E:E,1)</f>
        <v>2</v>
      </c>
      <c r="C12">
        <f>QUARTILE('cleaned data'!E:E,3)</f>
        <v>4</v>
      </c>
      <c r="D12">
        <f>C12-B12</f>
        <v>2</v>
      </c>
      <c r="E12">
        <f>B12-(1.5*D121)</f>
        <v>2</v>
      </c>
      <c r="F12">
        <f>C12+(1.5*D12)</f>
        <v>7</v>
      </c>
      <c r="G12" cm="1">
        <f t="array" ref="G12">SUMPRODUCT('cleaned data'!E2:E1201&lt;'EDA summary'!E12,'cleaned data'!E2:E1201&gt;'EDA summary'!F12)</f>
        <v>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tejasreekotla2006@outlook.com</cp:lastModifiedBy>
  <dcterms:created xsi:type="dcterms:W3CDTF">2025-06-21T13:19:12Z</dcterms:created>
  <dcterms:modified xsi:type="dcterms:W3CDTF">2026-06-26T14:01:03Z</dcterms:modified>
</cp:coreProperties>
</file>